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13785" windowHeight="7155" activeTab="1"/>
  </bookViews>
  <sheets>
    <sheet name="GM ETRS Gen 2 F PCBA 400K" sheetId="10" r:id="rId1"/>
    <sheet name="GM ETRS Gen 2 KNOB PCBA 400K" sheetId="7" r:id="rId2"/>
    <sheet name="GM ETRS Gen 2 MAIN PCBA 400K" sheetId="11" r:id="rId3"/>
    <sheet name="Sheet1" sheetId="9" r:id="rId4"/>
  </sheets>
  <definedNames>
    <definedName name="_xlnm.Print_Area" localSheetId="0">'GM ETRS Gen 2 F PCBA 400K'!$A$1:$M$76</definedName>
    <definedName name="_xlnm.Print_Area" localSheetId="1">'GM ETRS Gen 2 KNOB PCBA 400K'!$A$1:$M$87</definedName>
    <definedName name="_xlnm.Print_Area" localSheetId="2">'GM ETRS Gen 2 MAIN PCBA 400K'!$A$1:$M$106</definedName>
  </definedNames>
  <calcPr calcId="124519"/>
</workbook>
</file>

<file path=xl/calcChain.xml><?xml version="1.0" encoding="utf-8"?>
<calcChain xmlns="http://schemas.openxmlformats.org/spreadsheetml/2006/main">
  <c r="C47" i="11"/>
  <c r="C46"/>
  <c r="C45"/>
  <c r="C44"/>
  <c r="C43"/>
  <c r="C42"/>
  <c r="C41"/>
  <c r="C40"/>
  <c r="C39"/>
  <c r="C38"/>
  <c r="C37"/>
  <c r="C36"/>
  <c r="C35"/>
  <c r="C34"/>
  <c r="C33"/>
  <c r="C32"/>
  <c r="C31"/>
  <c r="C30"/>
  <c r="E90"/>
  <c r="E89"/>
  <c r="E88"/>
  <c r="L54"/>
  <c r="L53"/>
  <c r="L52"/>
  <c r="L51"/>
  <c r="L50"/>
  <c r="L49"/>
  <c r="L48"/>
  <c r="L47"/>
  <c r="L46"/>
  <c r="L45"/>
  <c r="L44"/>
  <c r="L43"/>
  <c r="L42"/>
  <c r="L41"/>
  <c r="L40"/>
  <c r="L39"/>
  <c r="L38"/>
  <c r="L37"/>
  <c r="L36"/>
  <c r="L35"/>
  <c r="L34"/>
  <c r="L33"/>
  <c r="L32"/>
  <c r="L31"/>
  <c r="L30"/>
  <c r="L29"/>
  <c r="C29"/>
  <c r="L28"/>
  <c r="C28"/>
  <c r="L27"/>
  <c r="C27"/>
  <c r="L26"/>
  <c r="C26"/>
  <c r="L25"/>
  <c r="C25"/>
  <c r="L24"/>
  <c r="C24"/>
  <c r="L23"/>
  <c r="C23"/>
  <c r="L22"/>
  <c r="C22"/>
  <c r="L21"/>
  <c r="C21"/>
  <c r="L20"/>
  <c r="C20"/>
  <c r="L19"/>
  <c r="C19"/>
  <c r="L18"/>
  <c r="C18"/>
  <c r="L17"/>
  <c r="C17"/>
  <c r="L16"/>
  <c r="C16"/>
  <c r="A16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L15"/>
  <c r="C15"/>
  <c r="C29" i="7"/>
  <c r="C28"/>
  <c r="C27"/>
  <c r="C26"/>
  <c r="C25"/>
  <c r="C24"/>
  <c r="C23"/>
  <c r="C22"/>
  <c r="C21"/>
  <c r="C20"/>
  <c r="C19"/>
  <c r="C18"/>
  <c r="E60" i="10"/>
  <c r="E59"/>
  <c r="E58"/>
  <c r="L24"/>
  <c r="L23"/>
  <c r="L22"/>
  <c r="L21"/>
  <c r="L20"/>
  <c r="L19"/>
  <c r="L18"/>
  <c r="L17"/>
  <c r="C17"/>
  <c r="A17"/>
  <c r="A18" s="1"/>
  <c r="A19" s="1"/>
  <c r="A20" s="1"/>
  <c r="A21" s="1"/>
  <c r="A22" s="1"/>
  <c r="A23" s="1"/>
  <c r="A24" s="1"/>
  <c r="L16"/>
  <c r="C16"/>
  <c r="A16"/>
  <c r="L15"/>
  <c r="L26" s="1"/>
  <c r="L35" s="1"/>
  <c r="L37" s="1"/>
  <c r="C15"/>
  <c r="C17" i="7"/>
  <c r="C16"/>
  <c r="L35"/>
  <c r="L34"/>
  <c r="L33"/>
  <c r="L32"/>
  <c r="L31"/>
  <c r="L30"/>
  <c r="L29"/>
  <c r="L28"/>
  <c r="L27"/>
  <c r="C15"/>
  <c r="L15"/>
  <c r="E71"/>
  <c r="E70"/>
  <c r="E75" s="1"/>
  <c r="E69"/>
  <c r="L26"/>
  <c r="L25"/>
  <c r="L24"/>
  <c r="L23"/>
  <c r="L22"/>
  <c r="L21"/>
  <c r="L20"/>
  <c r="L19"/>
  <c r="L18"/>
  <c r="L17"/>
  <c r="L16"/>
  <c r="A16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E94" i="11" l="1"/>
  <c r="L56"/>
  <c r="L65" s="1"/>
  <c r="L67" s="1"/>
  <c r="E64" i="10"/>
  <c r="L37" i="7"/>
  <c r="L46" s="1"/>
  <c r="L48" s="1"/>
</calcChain>
</file>

<file path=xl/sharedStrings.xml><?xml version="1.0" encoding="utf-8"?>
<sst xmlns="http://schemas.openxmlformats.org/spreadsheetml/2006/main" count="462" uniqueCount="201">
  <si>
    <t>REQUEST FOR QUOTE</t>
  </si>
  <si>
    <t>Due Date:</t>
  </si>
  <si>
    <t>Customer:</t>
  </si>
  <si>
    <t>Program Name:</t>
  </si>
  <si>
    <t xml:space="preserve">Program Life: </t>
  </si>
  <si>
    <t>Estimated SOP Date:</t>
  </si>
  <si>
    <t>Component Ship To Plant:</t>
  </si>
  <si>
    <t>Supplier:</t>
  </si>
  <si>
    <t>EAU:</t>
  </si>
  <si>
    <t>Engineering to complete all fields in yellow.</t>
  </si>
  <si>
    <t>Supplier's to complete all fields in blue</t>
  </si>
  <si>
    <t>Supplier Price</t>
  </si>
  <si>
    <t>Item #</t>
  </si>
  <si>
    <t>Total EAU</t>
  </si>
  <si>
    <t>Unit</t>
  </si>
  <si>
    <t>Loss
Class</t>
  </si>
  <si>
    <t>Part Number</t>
  </si>
  <si>
    <t>Description</t>
  </si>
  <si>
    <t>Unit price</t>
  </si>
  <si>
    <t>Sub-Total</t>
  </si>
  <si>
    <t>Comments</t>
  </si>
  <si>
    <t>BOM
Cost</t>
  </si>
  <si>
    <t>ENGINEERING COMMENTS</t>
  </si>
  <si>
    <t>SPECIAL PACKAGING REQUIREMENTS?</t>
  </si>
  <si>
    <t>NEW RAW MATERIAL TO BE PURCHASED?</t>
  </si>
  <si>
    <t>TOOLING COST</t>
  </si>
  <si>
    <t>SUPPLIER TIMING</t>
  </si>
  <si>
    <t>Q'TY</t>
  </si>
  <si>
    <t>Tooling Completion</t>
  </si>
  <si>
    <t>PPAP</t>
  </si>
  <si>
    <t>Start of Production</t>
  </si>
  <si>
    <t>SUPPLIER COMMENTS</t>
  </si>
  <si>
    <t>each</t>
  </si>
  <si>
    <t>Usage:</t>
  </si>
  <si>
    <t>Manufacturer</t>
  </si>
  <si>
    <t>Qty / Assy</t>
  </si>
  <si>
    <t>Lead time</t>
  </si>
  <si>
    <t>First off samples</t>
  </si>
  <si>
    <t>Designator</t>
  </si>
  <si>
    <t xml:space="preserve"> #</t>
  </si>
  <si>
    <t xml:space="preserve"> </t>
  </si>
  <si>
    <t>loss rate</t>
  </si>
  <si>
    <t>Labor</t>
  </si>
  <si>
    <t>Overhead &amp; Burden</t>
  </si>
  <si>
    <t>SG&amp;A</t>
  </si>
  <si>
    <t xml:space="preserve">Profit </t>
  </si>
  <si>
    <t>Packaging cost</t>
  </si>
  <si>
    <t>FOB
Shanghai</t>
  </si>
  <si>
    <t>DDU</t>
  </si>
  <si>
    <t>FOB
Huntsville</t>
  </si>
  <si>
    <t>Reflow Solder Pallets</t>
  </si>
  <si>
    <t>cost</t>
  </si>
  <si>
    <t>unit</t>
  </si>
  <si>
    <t>Sub total</t>
  </si>
  <si>
    <t>ICT tester</t>
  </si>
  <si>
    <t>TESTING REQUIREMENTS</t>
  </si>
  <si>
    <t>1 per vehicle</t>
  </si>
  <si>
    <t>SL America</t>
  </si>
  <si>
    <t>MURATA</t>
  </si>
  <si>
    <t>AVX</t>
  </si>
  <si>
    <t>VISHAY</t>
  </si>
  <si>
    <t>NXP</t>
  </si>
  <si>
    <t>MELEXIS</t>
  </si>
  <si>
    <t>OSRAM</t>
  </si>
  <si>
    <t>ROHM</t>
  </si>
  <si>
    <t>MCR03EZPFXL10R</t>
  </si>
  <si>
    <t>MCR03EZPFX1002</t>
  </si>
  <si>
    <t>Assumes that PCB does not have any special features</t>
  </si>
  <si>
    <r>
      <rPr>
        <b/>
        <sz val="36"/>
        <color rgb="FF000099"/>
        <rFont val="Arial"/>
        <family val="2"/>
      </rPr>
      <t>Advanced Automation Group</t>
    </r>
    <r>
      <rPr>
        <b/>
        <sz val="18"/>
        <rFont val="Arial"/>
        <family val="2"/>
      </rPr>
      <t xml:space="preserve">
A Certified Minority Supplier</t>
    </r>
  </si>
  <si>
    <t>GM ETRS Gen 2 F-PCBA</t>
  </si>
  <si>
    <t>CONNECTOR, plug assembly, outer shroud contacts, 15x2-position, (30 position), dual row, 0.5mm pitch, vertical board to board connector, 3mm mated stacking height, SMT</t>
  </si>
  <si>
    <t>Amphenol FCI</t>
  </si>
  <si>
    <t>10132797-031100LF</t>
  </si>
  <si>
    <t>GM ETRS Gen 2 KNOB-PCBA</t>
  </si>
  <si>
    <t>29</t>
  </si>
  <si>
    <t>14</t>
  </si>
  <si>
    <t>1</t>
  </si>
  <si>
    <t>7</t>
  </si>
  <si>
    <t>2</t>
  </si>
  <si>
    <t>5</t>
  </si>
  <si>
    <t>4</t>
  </si>
  <si>
    <t>3</t>
  </si>
  <si>
    <t>6</t>
  </si>
  <si>
    <t>MOLEX</t>
  </si>
  <si>
    <t>NICHIA</t>
  </si>
  <si>
    <t>04025C102K4</t>
  </si>
  <si>
    <t>06035C103K4T2A</t>
  </si>
  <si>
    <t>NHSW064T_S_A52A62</t>
  </si>
  <si>
    <t>LY-T67F_V1V2_45_3B4A</t>
  </si>
  <si>
    <t>LA-T67D_V1V2_34_H3L4Q4</t>
  </si>
  <si>
    <t>MCR03EZPF1781</t>
  </si>
  <si>
    <t>MCR03EZPFX1800</t>
  </si>
  <si>
    <t>MCR03EZPJ2R00</t>
  </si>
  <si>
    <t>MCR03EZPF5361</t>
  </si>
  <si>
    <t>MCR03EZPFX4220</t>
  </si>
  <si>
    <t>This is the same as item 1 (bare PCB)</t>
  </si>
  <si>
    <t>PCB "Folder"</t>
  </si>
  <si>
    <t>CAPACITOR, CERAMIC, 1nF, 50V, X7R, 0402, 10%, automotive</t>
  </si>
  <si>
    <t>CAPACITOR, CERAMIC,10nF, 50V, X7R, 0603,10%, automotive</t>
  </si>
  <si>
    <t>LED, TOP-LED, 3.1V (IF=10mA), SMD</t>
  </si>
  <si>
    <t>RESISTOR, 10K, 0603, 1%, 1/10W</t>
  </si>
  <si>
    <t>RESISTOR, 1.78K, 0603, 1%, 1/10W</t>
  </si>
  <si>
    <t>RESISTOR, 180 ohm, 0603, 1%, 1/10W</t>
  </si>
  <si>
    <t>RESISTOR, 2 ohm, 0603, 5%, 1/10W</t>
  </si>
  <si>
    <t>RESISTOR, 5.36K, 0603, 1%, 1/10W</t>
  </si>
  <si>
    <t>RESISTOR, 422 ohm, 0603, 1%, 1/10W</t>
  </si>
  <si>
    <r>
      <t xml:space="preserve">Conformal coating on </t>
    </r>
    <r>
      <rPr>
        <b/>
        <sz val="18"/>
        <color rgb="FFC00000"/>
        <rFont val="Arial"/>
        <family val="2"/>
      </rPr>
      <t>bottom layer only</t>
    </r>
  </si>
  <si>
    <t>LED,TOP-LED,1.9~2.5V(IF=20mA), PLCC-2</t>
  </si>
  <si>
    <t>LED,TOP-LED,1.95~2.5V(IF=20mA), PLCC-2</t>
  </si>
  <si>
    <r>
      <rPr>
        <b/>
        <sz val="18"/>
        <color rgb="FF000099"/>
        <rFont val="Arial"/>
        <family val="2"/>
      </rPr>
      <t>Bare Knob PCB, 64mm x 105mm
1.6T, RF PCB, 3-layer, 1oz copper, ENIG Plate</t>
    </r>
    <r>
      <rPr>
        <sz val="18"/>
        <rFont val="Arial"/>
        <family val="2"/>
      </rPr>
      <t xml:space="preserve">
Distinguish RHD &amp; LHD</t>
    </r>
  </si>
  <si>
    <t>Bare F-PCB,
150mm x 15mm, 1-layer, 1oz copper,
FPCB Thickness: 130um±10%,
Epoxy Thickness: 1.6mm, ENIG Plate</t>
  </si>
  <si>
    <r>
      <t>Quoted MCR03EZPF</t>
    </r>
    <r>
      <rPr>
        <b/>
        <sz val="18"/>
        <color rgb="FFC00000"/>
        <rFont val="Arial"/>
        <family val="2"/>
      </rPr>
      <t>X</t>
    </r>
    <r>
      <rPr>
        <sz val="18"/>
        <rFont val="Arial"/>
        <family val="2"/>
      </rPr>
      <t>1781</t>
    </r>
  </si>
  <si>
    <r>
      <t>Quoted MCR03EZPJ2R</t>
    </r>
    <r>
      <rPr>
        <b/>
        <sz val="18"/>
        <color rgb="FFC00000"/>
        <rFont val="Arial"/>
        <family val="2"/>
      </rPr>
      <t>0</t>
    </r>
  </si>
  <si>
    <r>
      <t>Quoted MCR03EZPF</t>
    </r>
    <r>
      <rPr>
        <b/>
        <sz val="18"/>
        <color rgb="FFC00000"/>
        <rFont val="Arial"/>
        <family val="2"/>
      </rPr>
      <t>X</t>
    </r>
    <r>
      <rPr>
        <sz val="18"/>
        <rFont val="Arial"/>
        <family val="2"/>
      </rPr>
      <t>5361</t>
    </r>
  </si>
  <si>
    <t xml:space="preserve">Amphenol FCI </t>
  </si>
  <si>
    <t>10132798-031100LF</t>
  </si>
  <si>
    <r>
      <t xml:space="preserve">CONNECTOR, vertical </t>
    </r>
    <r>
      <rPr>
        <b/>
        <sz val="18"/>
        <color rgb="FF000099"/>
        <rFont val="Arial"/>
        <family val="2"/>
      </rPr>
      <t>receptacle</t>
    </r>
    <r>
      <rPr>
        <sz val="18"/>
        <rFont val="Arial"/>
        <family val="2"/>
      </rPr>
      <t xml:space="preserve"> 0.5mm pitch, 15 x 2 circuits (30 circuits), board to board, dual row, mated stacking height 3mm &amp; 4mm, center strip contacts</t>
    </r>
  </si>
  <si>
    <r>
      <rPr>
        <b/>
        <sz val="18"/>
        <color rgb="FF000099"/>
        <rFont val="Arial"/>
        <family val="2"/>
      </rPr>
      <t xml:space="preserve">Replaced Molex # 52991-0308 </t>
    </r>
    <r>
      <rPr>
        <sz val="18"/>
        <rFont val="Arial"/>
        <family val="2"/>
      </rPr>
      <t>with an Amphenol FCI # 10132798-031100LF (receptacle), which saves 30%.</t>
    </r>
  </si>
  <si>
    <t>PCB &amp; Stencil Tooling</t>
  </si>
  <si>
    <r>
      <rPr>
        <b/>
        <sz val="18"/>
        <color rgb="FF000099"/>
        <rFont val="Arial"/>
        <family val="2"/>
      </rPr>
      <t>Replaced the Molex # 53748-0308</t>
    </r>
    <r>
      <rPr>
        <sz val="18"/>
        <rFont val="Arial"/>
        <family val="2"/>
      </rPr>
      <t xml:space="preserve"> with an Amphenol FCI # 10132797-031100LF connector which is roughly half the price.
I don't know if this will work. It will depend on the mating connector.</t>
    </r>
  </si>
  <si>
    <r>
      <t xml:space="preserve">&lt;&gt; </t>
    </r>
    <r>
      <rPr>
        <b/>
        <sz val="20"/>
        <color rgb="FFC00000"/>
        <rFont val="Arial"/>
        <family val="2"/>
      </rPr>
      <t xml:space="preserve">0/3/3/3 COST DOWN DOES </t>
    </r>
    <r>
      <rPr>
        <b/>
        <u/>
        <sz val="20"/>
        <color rgb="FFC00000"/>
        <rFont val="Arial"/>
        <family val="2"/>
      </rPr>
      <t>NOT</t>
    </r>
    <r>
      <rPr>
        <b/>
        <sz val="20"/>
        <color rgb="FFC00000"/>
        <rFont val="Arial"/>
        <family val="2"/>
      </rPr>
      <t xml:space="preserve"> APPLY TO THIS QUOTE</t>
    </r>
    <r>
      <rPr>
        <sz val="20"/>
        <rFont val="Arial"/>
        <family val="2"/>
      </rPr>
      <t>.
&lt;&gt; 
&lt;&gt; PPAP lead time is 6 weeks as long as there are no long lead components, and assuming FOB Shanghai.
&lt;&gt; First order leadtime at normal charge is 4 weeks
&lt;&gt; Prototype cost is at 4 times production price, and prototype tooling will serve as production tooling as long as there are no design changes.
&lt;&gt; Prototype leadtime is 3-4 weeks depending on component availability.
&lt;&gt; All testing required for PPAP submission included in price. However, EMC testing is not included.
&lt;&gt; 100% end-of-line testing for functionality and color per customer specifications, performed during regular production, is included.
&lt;&gt; Quoted prices are net 60 days.</t>
    </r>
  </si>
  <si>
    <r>
      <t xml:space="preserve">&lt;&gt; </t>
    </r>
    <r>
      <rPr>
        <b/>
        <sz val="20"/>
        <color rgb="FFC00000"/>
        <rFont val="Arial"/>
        <family val="2"/>
      </rPr>
      <t>0/3/3/3 COST DOWN DOES NOT APPLY TO THIS QUOTE.</t>
    </r>
    <r>
      <rPr>
        <sz val="20"/>
        <rFont val="Arial"/>
        <family val="2"/>
      </rPr>
      <t xml:space="preserve">
&lt;&gt; 
&lt;&gt; PPAP lead time is 6 weeks as long as there are no long lead components, and assuming FOB Shanghai.
&lt;&gt; First order leadtime at normal charge is 4 weeks
&lt;&gt; Prototype cost is at 4 times production price, and prototype tooling will serve as production tooling as long as there are no design changes.
&lt;&gt; Prototype leadtime is 3-4 weeks depending on component availability.
&lt;&gt; All testing required for PPAP submission included in price. However, EMC testing is not included.
&lt;&gt; 100% end-of-line testing for functionality and color per customer specifications, performed during regular production, is included.
&lt;&gt; Quoted prices are net 60 days.</t>
    </r>
  </si>
  <si>
    <t>GM ETRS Gen 2 MAIN-PCBA</t>
  </si>
  <si>
    <t>MAIN PCB,
56 mm X 43mm, ENIG Plate,
1.6T, FR-4 PCB, 4-layer,1oz copper</t>
  </si>
  <si>
    <t>11</t>
  </si>
  <si>
    <t>23</t>
  </si>
  <si>
    <t>19</t>
  </si>
  <si>
    <t>17</t>
  </si>
  <si>
    <t>12</t>
  </si>
  <si>
    <t>10</t>
  </si>
  <si>
    <t>RIMEC_Nichicon</t>
  </si>
  <si>
    <t>TI</t>
  </si>
  <si>
    <t>ON Semi</t>
  </si>
  <si>
    <r>
      <t xml:space="preserve">NXP
</t>
    </r>
    <r>
      <rPr>
        <b/>
        <sz val="18"/>
        <color rgb="FFC00000"/>
        <rFont val="Arial"/>
        <family val="2"/>
      </rPr>
      <t>ON Semi</t>
    </r>
  </si>
  <si>
    <t>GCM21BR71E225KA73L</t>
  </si>
  <si>
    <t>06031C472K4Z2A</t>
  </si>
  <si>
    <t>UCJ1V330MCL1GS</t>
  </si>
  <si>
    <t>505110-3091</t>
  </si>
  <si>
    <t>MLX80104</t>
  </si>
  <si>
    <t>TPS7A6650QDGNRQ1</t>
  </si>
  <si>
    <t>MLX90333KGOBCT</t>
  </si>
  <si>
    <t>NSV45020JZT1G</t>
  </si>
  <si>
    <t>D25/ CRCW12062R00</t>
  </si>
  <si>
    <t>MCR03EZPFX3001</t>
  </si>
  <si>
    <t>MCR03EZPF51R0</t>
  </si>
  <si>
    <t>MCR03EZPF0R00</t>
  </si>
  <si>
    <t>MCR03EZPJ1001</t>
  </si>
  <si>
    <t>MCR03EZPF2101</t>
  </si>
  <si>
    <t>MCR10EZHF49R9</t>
  </si>
  <si>
    <r>
      <t>MMBZ33VAL</t>
    </r>
    <r>
      <rPr>
        <b/>
        <sz val="18"/>
        <color rgb="FFC00000"/>
        <rFont val="Arial"/>
        <family val="2"/>
      </rPr>
      <t>T1G</t>
    </r>
  </si>
  <si>
    <r>
      <t>BSS84AKW</t>
    </r>
    <r>
      <rPr>
        <b/>
        <sz val="18"/>
        <color rgb="FFC00000"/>
        <rFont val="Arial"/>
        <family val="2"/>
      </rPr>
      <t>, 115</t>
    </r>
  </si>
  <si>
    <r>
      <t>UJA1023T</t>
    </r>
    <r>
      <rPr>
        <b/>
        <sz val="18"/>
        <color rgb="FFC00000"/>
        <rFont val="Arial"/>
        <family val="2"/>
      </rPr>
      <t>/2R04/C,51</t>
    </r>
  </si>
  <si>
    <r>
      <t>PDTC114YU</t>
    </r>
    <r>
      <rPr>
        <b/>
        <sz val="18"/>
        <color rgb="FFC00000"/>
        <rFont val="Arial"/>
        <family val="2"/>
      </rPr>
      <t>, 115</t>
    </r>
  </si>
  <si>
    <r>
      <t>PDTA143EU</t>
    </r>
    <r>
      <rPr>
        <b/>
        <sz val="18"/>
        <color rgb="FFC00000"/>
        <rFont val="Arial"/>
        <family val="2"/>
      </rPr>
      <t>, 115</t>
    </r>
  </si>
  <si>
    <r>
      <t>PMBTA56</t>
    </r>
    <r>
      <rPr>
        <b/>
        <sz val="18"/>
        <color rgb="FFC00000"/>
        <rFont val="Arial"/>
        <family val="2"/>
      </rPr>
      <t>, 215</t>
    </r>
  </si>
  <si>
    <r>
      <t>VCAS060305A150</t>
    </r>
    <r>
      <rPr>
        <b/>
        <sz val="18"/>
        <color rgb="FFC00000"/>
        <rFont val="Arial"/>
        <family val="2"/>
      </rPr>
      <t>RP</t>
    </r>
  </si>
  <si>
    <t>DIODE,TVS,SOT23</t>
  </si>
  <si>
    <t>FET,P-MOS,SOT323</t>
  </si>
  <si>
    <t>IC,LIN-Transceiver,5.5~27V,SO-16</t>
  </si>
  <si>
    <t>IC,LINEAR,-0.3~40V,QFN28</t>
  </si>
  <si>
    <t>IC,LINEAR,5.5~45V,MSOP-8P</t>
  </si>
  <si>
    <t>IC,LINEAR,4.5~5.5V,SOP-16P</t>
  </si>
  <si>
    <t>IC,LINEAR,REGULATOR,SOT223</t>
  </si>
  <si>
    <t>TRANSISTOR,NPN,SOT323</t>
  </si>
  <si>
    <t>TRANSISTOR,PNP,SOT323</t>
  </si>
  <si>
    <t>TRANSISTOR,PNP,SOT23</t>
  </si>
  <si>
    <t>VARISTOR,1608</t>
  </si>
  <si>
    <t>CAPACITOR,ELECTROLYTIC, 33uF, 35V, SMD, 20%</t>
  </si>
  <si>
    <t>RESISTOR, FIXED, 2 Ohms, 1206, 5%, 1/4W</t>
  </si>
  <si>
    <t>RESISTOR, FIXED, 3 KOhm, 0603,1%, 1/10W</t>
  </si>
  <si>
    <t>RESISTOR, FIXED, 10 KOhms, 0603, 1%, 1/10W</t>
  </si>
  <si>
    <t>RESISTOR, FIXED, 51 Ohms, 0603, 1%, 1/10W</t>
  </si>
  <si>
    <t>RESISTOR, FIXED, 0 Ohms, jumper, 0603, 5%, 1/10W</t>
  </si>
  <si>
    <t>RESISTOR, FIXED, 10 Ohms, 0603, 1%, 1/10W</t>
  </si>
  <si>
    <t>RESISTOR, FIXED, 1 KOhm, 0603, 5%, 1/10W</t>
  </si>
  <si>
    <t>RESISTOR, FIXED, 2.1 Kohm, 0603, 1%, 1/10W</t>
  </si>
  <si>
    <t>RESISTOR, FIXED, 49.9 Ohms, 0805, 1%, 1/8W</t>
  </si>
  <si>
    <r>
      <t>Quoted MCR03EZPF</t>
    </r>
    <r>
      <rPr>
        <b/>
        <sz val="18"/>
        <color rgb="FFC00000"/>
        <rFont val="Arial"/>
        <family val="2"/>
      </rPr>
      <t>X</t>
    </r>
    <r>
      <rPr>
        <sz val="18"/>
        <rFont val="Arial"/>
        <family val="2"/>
      </rPr>
      <t>51R0</t>
    </r>
  </si>
  <si>
    <r>
      <t>Quoted MCR03EZP</t>
    </r>
    <r>
      <rPr>
        <b/>
        <sz val="18"/>
        <color rgb="FFC00000"/>
        <rFont val="Arial"/>
        <family val="2"/>
      </rPr>
      <t>J000</t>
    </r>
  </si>
  <si>
    <r>
      <t>Quoted MCR03EZPF</t>
    </r>
    <r>
      <rPr>
        <b/>
        <sz val="18"/>
        <color rgb="FFC00000"/>
        <rFont val="Arial"/>
        <family val="2"/>
      </rPr>
      <t>X</t>
    </r>
    <r>
      <rPr>
        <sz val="18"/>
        <rFont val="Arial"/>
        <family val="2"/>
      </rPr>
      <t>10R0</t>
    </r>
  </si>
  <si>
    <r>
      <t>Quoted MCR03EZPJ</t>
    </r>
    <r>
      <rPr>
        <b/>
        <sz val="18"/>
        <color rgb="FFC00000"/>
        <rFont val="Arial"/>
        <family val="2"/>
      </rPr>
      <t>102</t>
    </r>
  </si>
  <si>
    <r>
      <t>Quoted MCR03EZPF</t>
    </r>
    <r>
      <rPr>
        <b/>
        <sz val="18"/>
        <color rgb="FFC00000"/>
        <rFont val="Arial"/>
        <family val="2"/>
      </rPr>
      <t>X</t>
    </r>
    <r>
      <rPr>
        <sz val="18"/>
        <rFont val="Arial"/>
        <family val="2"/>
      </rPr>
      <t>2101</t>
    </r>
  </si>
  <si>
    <t xml:space="preserve">Quoted PDTA143EU,115 </t>
  </si>
  <si>
    <t>Quoted PDTC114YU,115</t>
  </si>
  <si>
    <t>Quoted PMBTA56,215</t>
  </si>
  <si>
    <t>Quoted VCAS060305A150RP</t>
  </si>
  <si>
    <t>CAPACITOR, CERAMIC, 0.01uF, 50V, 0603, 10%, X7R</t>
  </si>
  <si>
    <t>CAPACITOR, CERAMIC, 0.1uF, 50V, 0603, 10%</t>
  </si>
  <si>
    <t>CAPACITOR, CERAMIC, 220pF, 100V, 0603, 10%, X7R</t>
  </si>
  <si>
    <t>CAPACITOR, CERAMIC, 0.47uF, 50V,0805, 10%, X7R</t>
  </si>
  <si>
    <t>CAPACITOR, CERAMIC, 1nF, 50V, 0402, 10%, X7R</t>
  </si>
  <si>
    <t>CAPACITOR, CERAMIC, 1nF, 50V, 0603, 10%, X7R</t>
  </si>
  <si>
    <t>CAPACITOR, CERAMIC, 2.2uF,  25V, 0805, 10%, X7R</t>
  </si>
  <si>
    <t>CAPACITOR, CERAMIC, 4.7N, 100V, 0603, 10%, X7R</t>
  </si>
  <si>
    <r>
      <t>06035C104K4</t>
    </r>
    <r>
      <rPr>
        <b/>
        <sz val="18"/>
        <color rgb="FFC00000"/>
        <rFont val="Arial"/>
        <family val="2"/>
      </rPr>
      <t>T2A</t>
    </r>
  </si>
  <si>
    <r>
      <t>06031C221K4</t>
    </r>
    <r>
      <rPr>
        <b/>
        <sz val="18"/>
        <color rgb="FFC00000"/>
        <rFont val="Arial"/>
        <family val="2"/>
      </rPr>
      <t>T2A</t>
    </r>
  </si>
  <si>
    <r>
      <t>08055C474KA</t>
    </r>
    <r>
      <rPr>
        <b/>
        <sz val="18"/>
        <color rgb="FFC00000"/>
        <rFont val="Arial"/>
        <family val="2"/>
      </rPr>
      <t>T2A</t>
    </r>
  </si>
  <si>
    <r>
      <t>04025C102K4</t>
    </r>
    <r>
      <rPr>
        <b/>
        <sz val="18"/>
        <color rgb="FFC00000"/>
        <rFont val="Arial"/>
        <family val="2"/>
      </rPr>
      <t>T2A</t>
    </r>
  </si>
  <si>
    <r>
      <t>06035C102K4</t>
    </r>
    <r>
      <rPr>
        <b/>
        <sz val="18"/>
        <color rgb="FFC00000"/>
        <rFont val="Arial"/>
        <family val="2"/>
      </rPr>
      <t>T2A</t>
    </r>
  </si>
  <si>
    <t>CONNECTOR, 0.50mm pitch, FFC/ FPC connector, 1.90mm height, right angle, SMT, ZIF, 30 circuits, double bottom contacts (FD19 series)</t>
  </si>
  <si>
    <t>ICT Tester</t>
  </si>
</sst>
</file>

<file path=xl/styles.xml><?xml version="1.0" encoding="utf-8"?>
<styleSheet xmlns="http://schemas.openxmlformats.org/spreadsheetml/2006/main">
  <numFmts count="79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\$#,##0.00_);\(\$#,##0.00\)"/>
    <numFmt numFmtId="166" formatCode="_ * #,##0.0000_ ;_ * \-#,##0.0000_ ;_ * &quot;-&quot;_ ;_ @_ "/>
    <numFmt numFmtId="167" formatCode="&quot;$&quot;#,##0.0000"/>
    <numFmt numFmtId="168" formatCode="&quot;$&quot;#,##0.0000_);[Red]\(&quot;$&quot;#,##0.0000\)"/>
    <numFmt numFmtId="169" formatCode="0.000_ "/>
    <numFmt numFmtId="170" formatCode="0.000"/>
    <numFmt numFmtId="171" formatCode="#,##0.00000_);[Red]\(#,##0.00000\)"/>
    <numFmt numFmtId="172" formatCode="0.0000%"/>
    <numFmt numFmtId="173" formatCode="[$-409]mmmm\ d\,\ yyyy;@"/>
    <numFmt numFmtId="174" formatCode="#,##0.00_ ;[Red]\-#,##0.00;\-"/>
    <numFmt numFmtId="175" formatCode="#,##0_ ;[Blue]\-#,##0;\-"/>
    <numFmt numFmtId="176" formatCode="\+#,##0;\-#,##0;\-"/>
    <numFmt numFmtId="177" formatCode="#,##0;\-#,##0;\-"/>
    <numFmt numFmtId="178" formatCode="#,##0\ ;\-#,##0\ ;\-\ ;"/>
    <numFmt numFmtId="179" formatCode="#,##0.00\ &quot;DM&quot;;[Red]\-#,##0.00\ &quot;DM&quot;"/>
    <numFmt numFmtId="180" formatCode="\ \ \ @\ *."/>
    <numFmt numFmtId="181" formatCode="#,##0.000;[Red]\-#,##0.000"/>
    <numFmt numFmtId="182" formatCode="\ \ \ \ \ \ @\ *."/>
    <numFmt numFmtId="183" formatCode="\ \ \ \ \ \ \ \ \ @\ *."/>
    <numFmt numFmtId="184" formatCode="[Blue]#,##0;[Red]\-#,##0;\-"/>
    <numFmt numFmtId="185" formatCode="#,##0\ &quot;F&quot;;\-#,##0\ &quot;F&quot;"/>
    <numFmt numFmtId="186" formatCode="0.000_)"/>
    <numFmt numFmtId="187" formatCode="mm"/>
    <numFmt numFmtId="188" formatCode="#,##0.0,_);[Red]\(#,##0.0,\)"/>
    <numFmt numFmtId="189" formatCode="_-* #,##0\ _k_r_-;\-* #,##0\ _k_r_-;_-* &quot;-&quot;\ _k_r_-;_-@_-"/>
    <numFmt numFmtId="190" formatCode="_-* #,##0\ &quot;F&quot;_-;\-* #,##0\ &quot;F&quot;_-;_-* &quot;-&quot;\ &quot;F&quot;_-;_-@_-"/>
    <numFmt numFmtId="191" formatCode="_-* #,##0.00\ [$€]_-;\-* #,##0.00\ [$€]_-;_-* &quot;-&quot;??\ [$€]_-;_-@_-"/>
    <numFmt numFmtId="192" formatCode="_-* #,##0.00\ &quot;DM&quot;_-;\-* #,##0.00\ &quot;DM&quot;_-;_-* &quot;-&quot;??\ &quot;DM&quot;_-;_-@_-"/>
    <numFmt numFmtId="193" formatCode="#,##0\ &quot;F&quot;;[Red]\-#,##0\ &quot;F&quot;"/>
    <numFmt numFmtId="194" formatCode="#,##0.00\ &quot;F&quot;;[Red]\-#,##0.00\ &quot;F&quot;"/>
    <numFmt numFmtId="195" formatCode="#,##0&quot;DM&quot;_);[Red]\(#,##0&quot;DM&quot;\)"/>
    <numFmt numFmtId="196" formatCode="[h]"/>
    <numFmt numFmtId="197" formatCode="\+#,##0;[Red]\-#,##0;&quot;-&quot;"/>
    <numFmt numFmtId="198" formatCode="_-* #,##0\ _F_-;\-* #,##0\ _F_-;_-* &quot;-&quot;\ _F_-;_-@_-"/>
    <numFmt numFmtId="199" formatCode="_-* #,##0.00\ _D_M_-;\-* #,##0.00\ _D_M_-;_-* &quot;-&quot;??\ _D_M_-;_-@_-"/>
    <numFmt numFmtId="200" formatCode="_ &quot;\&quot;* #,##0_ ;_ &quot;\&quot;* &quot;\&quot;&quot;\&quot;&quot;\&quot;&quot;\&quot;&quot;\&quot;&quot;\&quot;&quot;\&quot;&quot;\&quot;&quot;\&quot;&quot;\&quot;&quot;\&quot;&quot;\&quot;\-#,##0_ ;_ &quot;\&quot;* &quot;-&quot;_ ;_ @_ "/>
    <numFmt numFmtId="201" formatCode="_ &quot;\&quot;* #,##0.00_ ;_ &quot;\&quot;* &quot;\&quot;&quot;\&quot;&quot;\&quot;&quot;\&quot;&quot;\&quot;&quot;\&quot;&quot;\&quot;&quot;\&quot;&quot;\&quot;&quot;\&quot;&quot;\&quot;&quot;\&quot;\-#,##0.00_ ;_ &quot;\&quot;* &quot;-&quot;??_ ;_ @_ "/>
    <numFmt numFmtId="202" formatCode="0_);\(0\)"/>
    <numFmt numFmtId="203" formatCode="#,##0.00;[Red]\-#,##0.00"/>
    <numFmt numFmtId="204" formatCode="#,##0;\-#,##0"/>
    <numFmt numFmtId="205" formatCode="&quot;$&quot;* #,##0_);[Red]&quot;$&quot;* \(#,##0\)"/>
    <numFmt numFmtId="206" formatCode="&quot;$&quot;* #,##0.00_);[Red]&quot;$&quot;* \(#,##0.00\)"/>
    <numFmt numFmtId="207" formatCode="0_)%;\(0\)%"/>
    <numFmt numFmtId="208" formatCode="0.0\ %;\(0.0\)%"/>
    <numFmt numFmtId="209" formatCode="&quot;\&quot;#,##0.00;[Red]&quot;\&quot;\-#,##0.00"/>
    <numFmt numFmtId="210" formatCode="&quot;\&quot;#,##0;[Red]&quot;\&quot;\-#,##0"/>
    <numFmt numFmtId="211" formatCode="#,##0_);[Red]\ \(#,##0\)"/>
    <numFmt numFmtId="212" formatCode="#,##0.0_);[Red]\(#,##0.0\)"/>
    <numFmt numFmtId="213" formatCode="0\ %\ "/>
    <numFmt numFmtId="214" formatCode="0.#0"/>
    <numFmt numFmtId="215" formatCode="0.##0"/>
    <numFmt numFmtId="216" formatCode="0.000%"/>
    <numFmt numFmtId="217" formatCode="#,##0.0000_)"/>
    <numFmt numFmtId="218" formatCode="000"/>
    <numFmt numFmtId="219" formatCode="\$#,##0.00;[Red]\-\$#,##0.00"/>
    <numFmt numFmtId="220" formatCode="\$\ #,##0;\-\$\ #,##0"/>
    <numFmt numFmtId="221" formatCode="_0\,;_(* \(0,\);_(* &quot;&quot;_);_(@_)"/>
    <numFmt numFmtId="222" formatCode="_-* #,##0_-;\-* #,##0_-;_-* &quot;-&quot;_-;_-@_-"/>
    <numFmt numFmtId="223" formatCode="#,##0.0;[Red]\-#,##0.0"/>
    <numFmt numFmtId="224" formatCode="#,##0.00;[Red]\(#,##0.00\)"/>
    <numFmt numFmtId="225" formatCode="#,##0.0_);\(#,##0.0\)"/>
    <numFmt numFmtId="226" formatCode="0;[Red]0"/>
    <numFmt numFmtId="227" formatCode="&quot;£&quot;#,##0;\-&quot;£&quot;#,##0"/>
    <numFmt numFmtId="228" formatCode="\$#,##0;[Red]\-\$#,##0"/>
    <numFmt numFmtId="229" formatCode="&quot;£&quot;#,##0.0;[Red]\-&quot;£&quot;#,##0.0"/>
    <numFmt numFmtId="230" formatCode="#,##0;[Red]\(#,##0\)"/>
    <numFmt numFmtId="231" formatCode="\A&quot;$&quot;#,##0_);\(&quot;$&quot;#,##0\)"/>
    <numFmt numFmtId="232" formatCode="\$#,##0.0;[Red]\-\$#,##0.0"/>
    <numFmt numFmtId="233" formatCode="#,##0.000_);[Red]\(#,##0.000\)"/>
    <numFmt numFmtId="234" formatCode="##,##0.00_);\(#,##0.00\)"/>
    <numFmt numFmtId="235" formatCode="0.00000000E+00"/>
    <numFmt numFmtId="236" formatCode="_-&quot;£&quot;* #,##0_-;\-&quot;£&quot;* #,##0_-;_-&quot;£&quot;* &quot;-&quot;_-;_-@_-"/>
    <numFmt numFmtId="237" formatCode="_-* #,##0\ &quot;DM&quot;_-;\-* #,##0\ &quot;DM&quot;_-;_-* &quot;-&quot;\ &quot;DM&quot;_-;_-@_-"/>
    <numFmt numFmtId="238" formatCode="&quot;$&quot;#,##0"/>
    <numFmt numFmtId="239" formatCode="#."/>
  </numFmts>
  <fonts count="166">
    <font>
      <sz val="12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name val="宋体"/>
      <charset val="134"/>
    </font>
    <font>
      <sz val="12"/>
      <name val="宋体"/>
      <charset val="13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Times New Roman"/>
      <family val="1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新細明體"/>
      <family val="1"/>
      <charset val="136"/>
    </font>
    <font>
      <sz val="8"/>
      <name val="Arial"/>
      <family val="2"/>
    </font>
    <font>
      <b/>
      <i/>
      <sz val="28"/>
      <name val="Arial"/>
      <family val="2"/>
    </font>
    <font>
      <sz val="28"/>
      <name val="Arial"/>
      <family val="2"/>
    </font>
    <font>
      <b/>
      <sz val="18"/>
      <color indexed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8"/>
      <name val="宋体"/>
      <charset val="134"/>
    </font>
    <font>
      <sz val="18"/>
      <name val="Arial"/>
      <family val="2"/>
    </font>
    <font>
      <b/>
      <sz val="20"/>
      <name val="Arial"/>
      <family val="2"/>
    </font>
    <font>
      <sz val="20"/>
      <name val="宋体"/>
      <charset val="134"/>
    </font>
    <font>
      <sz val="14"/>
      <name val="Arial"/>
      <family val="2"/>
    </font>
    <font>
      <b/>
      <sz val="14"/>
      <name val="Arial"/>
      <family val="2"/>
    </font>
    <font>
      <b/>
      <sz val="12"/>
      <color indexed="10"/>
      <name val="Arial"/>
      <family val="2"/>
    </font>
    <font>
      <b/>
      <sz val="12"/>
      <color indexed="12"/>
      <name val="Arial"/>
      <family val="2"/>
    </font>
    <font>
      <b/>
      <sz val="16"/>
      <color indexed="12"/>
      <name val="Arial"/>
      <family val="2"/>
    </font>
    <font>
      <b/>
      <sz val="20"/>
      <color indexed="10"/>
      <name val="Arial"/>
      <family val="2"/>
    </font>
    <font>
      <sz val="16"/>
      <name val="Arial"/>
      <family val="2"/>
    </font>
    <font>
      <sz val="12"/>
      <name val="宋体"/>
      <charset val="134"/>
    </font>
    <font>
      <b/>
      <sz val="16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10"/>
      <name val="Univers"/>
      <family val="2"/>
    </font>
    <font>
      <sz val="12"/>
      <name val="Helv"/>
      <family val="2"/>
    </font>
    <font>
      <b/>
      <i/>
      <u/>
      <sz val="18"/>
      <color indexed="23"/>
      <name val="MS Sans Serif"/>
      <family val="2"/>
    </font>
    <font>
      <sz val="10"/>
      <name val="Arial Narrow"/>
      <family val="2"/>
    </font>
    <font>
      <sz val="12"/>
      <name val="¹ÙÅÁÃ¼"/>
      <family val="1"/>
      <charset val="129"/>
    </font>
    <font>
      <sz val="11"/>
      <name val="돋움"/>
      <family val="2"/>
      <charset val="129"/>
    </font>
    <font>
      <sz val="10"/>
      <name val="Courier"/>
      <family val="3"/>
    </font>
    <font>
      <u/>
      <sz val="10"/>
      <color indexed="12"/>
      <name val="Arial"/>
      <family val="2"/>
    </font>
    <font>
      <sz val="11"/>
      <name val="Tms Rmn"/>
      <family val="1"/>
    </font>
    <font>
      <sz val="9"/>
      <name val="Times New Roman"/>
      <family val="1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Geneva"/>
      <family val="2"/>
    </font>
    <font>
      <sz val="10"/>
      <name val="BMW Helvetica Roman"/>
      <family val="2"/>
    </font>
    <font>
      <i/>
      <sz val="10"/>
      <name val="Helv"/>
      <family val="2"/>
    </font>
    <font>
      <sz val="9"/>
      <name val="Geneva"/>
      <family val="2"/>
    </font>
    <font>
      <b/>
      <sz val="10"/>
      <name val="MS Sans Serif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10"/>
      <name val="Helv"/>
      <family val="2"/>
    </font>
    <font>
      <sz val="9"/>
      <color indexed="20"/>
      <name val="Arial"/>
      <family val="2"/>
    </font>
    <font>
      <sz val="9"/>
      <color indexed="48"/>
      <name val="Arial"/>
      <family val="2"/>
    </font>
    <font>
      <b/>
      <sz val="12"/>
      <color indexed="20"/>
      <name val="Arial"/>
      <family val="2"/>
    </font>
    <font>
      <b/>
      <sz val="9"/>
      <color indexed="20"/>
      <name val="Arial"/>
      <family val="2"/>
    </font>
    <font>
      <sz val="10"/>
      <name val="Geneva"/>
      <family val="2"/>
    </font>
    <font>
      <sz val="10"/>
      <name val="명조"/>
      <family val="3"/>
      <charset val="129"/>
    </font>
    <font>
      <sz val="12"/>
      <color indexed="8"/>
      <name val="Arial"/>
      <family val="2"/>
    </font>
    <font>
      <sz val="12"/>
      <name val="宋体"/>
      <family val="2"/>
      <charset val="134"/>
    </font>
    <font>
      <sz val="12"/>
      <name val="Helv"/>
    </font>
    <font>
      <sz val="11"/>
      <name val="돋움"/>
      <family val="3"/>
      <charset val="129"/>
    </font>
    <font>
      <sz val="10"/>
      <name val="BMW Helvetica Roman"/>
    </font>
    <font>
      <i/>
      <sz val="10"/>
      <name val="Helv"/>
    </font>
    <font>
      <sz val="9"/>
      <name val="Geneva"/>
    </font>
    <font>
      <sz val="10"/>
      <name val="Helv"/>
    </font>
    <font>
      <b/>
      <sz val="18"/>
      <color indexed="56"/>
      <name val="Cambria"/>
      <family val="2"/>
    </font>
    <font>
      <sz val="8.5"/>
      <name val="LinePrinter"/>
    </font>
    <font>
      <sz val="9"/>
      <name val="Arial MT"/>
      <family val="2"/>
    </font>
    <font>
      <sz val="11"/>
      <name val="‚l‚r –¾’©"/>
      <charset val="128"/>
    </font>
    <font>
      <b/>
      <sz val="8.5"/>
      <name val="LinePrinter"/>
    </font>
    <font>
      <sz val="8"/>
      <name val="Helv"/>
    </font>
    <font>
      <sz val="8"/>
      <name val="Times New Roman"/>
      <family val="1"/>
    </font>
    <font>
      <sz val="9"/>
      <name val="Arial MT"/>
    </font>
    <font>
      <sz val="11"/>
      <color indexed="20"/>
      <name val="ＭＳ Ｐゴシック"/>
      <family val="3"/>
      <charset val="128"/>
    </font>
    <font>
      <b/>
      <sz val="11"/>
      <color indexed="10"/>
      <name val="Calibri"/>
      <family val="2"/>
    </font>
    <font>
      <b/>
      <sz val="10"/>
      <name val="Helv"/>
    </font>
    <font>
      <sz val="12"/>
      <name val="Times New Roman"/>
      <family val="1"/>
    </font>
    <font>
      <b/>
      <sz val="8"/>
      <name val="Arial"/>
      <family val="2"/>
    </font>
    <font>
      <i/>
      <sz val="11"/>
      <color indexed="10"/>
      <name val="ＭＳ Ｐゴシック"/>
      <family val="3"/>
      <charset val="128"/>
    </font>
    <font>
      <sz val="10"/>
      <name val="MS Serif"/>
      <family val="1"/>
    </font>
    <font>
      <sz val="10"/>
      <name val="Times New Roman"/>
      <family val="1"/>
    </font>
    <font>
      <sz val="11"/>
      <color indexed="19"/>
      <name val="ＭＳ Ｐゴシック"/>
      <family val="3"/>
      <charset val="128"/>
    </font>
    <font>
      <sz val="10"/>
      <color indexed="16"/>
      <name val="MS Serif"/>
      <family val="1"/>
    </font>
    <font>
      <i/>
      <sz val="11"/>
      <color indexed="12"/>
      <name val="ＭＳ Ｐゴシック"/>
      <family val="3"/>
      <charset val="128"/>
    </font>
    <font>
      <i/>
      <sz val="11"/>
      <color indexed="11"/>
      <name val="ＭＳ Ｐゴシック"/>
      <family val="3"/>
      <charset val="128"/>
    </font>
    <font>
      <sz val="11"/>
      <name val="‚l‚r ‚oƒSƒVƒbƒN"/>
      <charset val="128"/>
    </font>
    <font>
      <b/>
      <sz val="12"/>
      <name val="Helv"/>
    </font>
    <font>
      <b/>
      <sz val="11"/>
      <color indexed="62"/>
      <name val="Calibri"/>
      <family val="2"/>
    </font>
    <font>
      <b/>
      <sz val="8"/>
      <name val="MS Sans Serif"/>
      <family val="2"/>
    </font>
    <font>
      <sz val="12"/>
      <color indexed="9"/>
      <name val="Helv"/>
    </font>
    <font>
      <b/>
      <sz val="11"/>
      <name val="Helv"/>
    </font>
    <font>
      <sz val="11"/>
      <color indexed="19"/>
      <name val="Calibri"/>
      <family val="2"/>
    </font>
    <font>
      <sz val="7"/>
      <name val="Small Fonts"/>
      <family val="2"/>
    </font>
    <font>
      <sz val="10"/>
      <name val="Tahoma"/>
      <family val="2"/>
    </font>
    <font>
      <sz val="11"/>
      <color indexed="17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name val="ＭＳ Ｐゴシック"/>
      <charset val="128"/>
    </font>
    <font>
      <b/>
      <sz val="8.25"/>
      <name val="Helv"/>
    </font>
    <font>
      <sz val="11"/>
      <color indexed="18"/>
      <name val="ＭＳ Ｐゴシック"/>
      <family val="3"/>
      <charset val="128"/>
    </font>
    <font>
      <i/>
      <sz val="11"/>
      <color indexed="8"/>
      <name val="ＭＳ Ｐゴシック"/>
      <family val="3"/>
      <charset val="128"/>
    </font>
    <font>
      <sz val="11"/>
      <name val="돋움"/>
      <charset val="129"/>
    </font>
    <font>
      <sz val="18"/>
      <name val="中ゴシック体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u/>
      <sz val="10"/>
      <name val="ＭＳ Ｐゴシック"/>
      <family val="3"/>
      <charset val="128"/>
    </font>
    <font>
      <sz val="10"/>
      <name val="細明朝体"/>
      <family val="3"/>
      <charset val="128"/>
    </font>
    <font>
      <sz val="12"/>
      <name val="細明朝体"/>
      <family val="1"/>
      <charset val="128"/>
    </font>
    <font>
      <b/>
      <sz val="22"/>
      <name val="Arial"/>
      <family val="2"/>
    </font>
    <font>
      <sz val="11"/>
      <color theme="1"/>
      <name val="Calibri"/>
      <family val="2"/>
      <scheme val="minor"/>
    </font>
    <font>
      <sz val="20"/>
      <name val="Arial"/>
      <family val="2"/>
    </font>
    <font>
      <b/>
      <sz val="20"/>
      <color rgb="FFC00000"/>
      <name val="Arial"/>
      <family val="2"/>
    </font>
    <font>
      <b/>
      <sz val="18"/>
      <color rgb="FF0000FF"/>
      <name val="Arial"/>
      <family val="2"/>
    </font>
    <font>
      <b/>
      <sz val="18"/>
      <color rgb="FF000099"/>
      <name val="Arial"/>
      <family val="2"/>
    </font>
    <font>
      <b/>
      <sz val="24"/>
      <color rgb="FF000099"/>
      <name val="Arial"/>
      <family val="2"/>
    </font>
    <font>
      <b/>
      <sz val="24"/>
      <name val="Arial"/>
      <family val="2"/>
    </font>
    <font>
      <b/>
      <sz val="36"/>
      <color rgb="FF000099"/>
      <name val="Arial"/>
      <family val="2"/>
    </font>
    <font>
      <sz val="12"/>
      <name val="바탕체"/>
      <family val="3"/>
      <charset val="129"/>
    </font>
    <font>
      <sz val="11"/>
      <color indexed="8"/>
      <name val="맑은 고딕"/>
      <family val="2"/>
      <charset val="129"/>
    </font>
    <font>
      <sz val="11"/>
      <color indexed="9"/>
      <name val="맑은 고딕"/>
      <family val="2"/>
      <charset val="129"/>
    </font>
    <font>
      <sz val="11"/>
      <name val="μ¸¿o"/>
      <family val="3"/>
      <charset val="129"/>
    </font>
    <font>
      <sz val="12"/>
      <name val="¹UAAA¼"/>
      <family val="1"/>
      <charset val="129"/>
    </font>
    <font>
      <sz val="11"/>
      <color indexed="10"/>
      <name val="맑은 고딕"/>
      <family val="2"/>
      <charset val="129"/>
    </font>
    <font>
      <b/>
      <sz val="11"/>
      <color indexed="52"/>
      <name val="맑은 고딕"/>
      <family val="2"/>
      <charset val="129"/>
    </font>
    <font>
      <sz val="11"/>
      <color indexed="20"/>
      <name val="맑은 고딕"/>
      <family val="2"/>
      <charset val="129"/>
    </font>
    <font>
      <u/>
      <sz val="12"/>
      <color indexed="36"/>
      <name val="System"/>
      <family val="2"/>
    </font>
    <font>
      <sz val="1"/>
      <color indexed="0"/>
      <name val="Courier"/>
      <family val="3"/>
    </font>
    <font>
      <sz val="11"/>
      <color indexed="60"/>
      <name val="맑은 고딕"/>
      <family val="2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2"/>
      <charset val="129"/>
    </font>
    <font>
      <b/>
      <sz val="11"/>
      <color indexed="9"/>
      <name val="맑은 고딕"/>
      <family val="2"/>
      <charset val="129"/>
    </font>
    <font>
      <sz val="11"/>
      <color indexed="52"/>
      <name val="맑은 고딕"/>
      <family val="2"/>
      <charset val="129"/>
    </font>
    <font>
      <b/>
      <sz val="11"/>
      <color indexed="8"/>
      <name val="맑은 고딕"/>
      <family val="2"/>
      <charset val="129"/>
    </font>
    <font>
      <sz val="11"/>
      <color indexed="62"/>
      <name val="맑은 고딕"/>
      <family val="2"/>
      <charset val="129"/>
    </font>
    <font>
      <b/>
      <sz val="18"/>
      <color indexed="56"/>
      <name val="맑은 고딕"/>
      <family val="2"/>
      <charset val="129"/>
    </font>
    <font>
      <b/>
      <sz val="15"/>
      <color indexed="56"/>
      <name val="맑은 고딕"/>
      <family val="2"/>
      <charset val="129"/>
    </font>
    <font>
      <b/>
      <sz val="13"/>
      <color indexed="56"/>
      <name val="맑은 고딕"/>
      <family val="2"/>
      <charset val="129"/>
    </font>
    <font>
      <b/>
      <sz val="11"/>
      <color indexed="56"/>
      <name val="맑은 고딕"/>
      <family val="2"/>
      <charset val="129"/>
    </font>
    <font>
      <sz val="11"/>
      <color indexed="17"/>
      <name val="맑은 고딕"/>
      <family val="2"/>
      <charset val="129"/>
    </font>
    <font>
      <b/>
      <sz val="11"/>
      <color indexed="63"/>
      <name val="맑은 고딕"/>
      <family val="2"/>
      <charset val="129"/>
    </font>
    <font>
      <b/>
      <sz val="18"/>
      <color rgb="FFC00000"/>
      <name val="Arial"/>
      <family val="2"/>
    </font>
    <font>
      <b/>
      <u/>
      <sz val="20"/>
      <color rgb="FFC00000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0625"/>
    </fill>
    <fill>
      <patternFill patternType="lightGray"/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</patternFill>
    </fill>
    <fill>
      <patternFill patternType="solid">
        <fgColor indexed="1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darkGray">
        <fgColor indexed="15"/>
      </patternFill>
    </fill>
    <fill>
      <patternFill patternType="solid">
        <fgColor rgb="FFFFFF00"/>
        <bgColor indexed="64"/>
      </patternFill>
    </fill>
    <fill>
      <patternFill patternType="solid">
        <fgColor rgb="FFBDEE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800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hair">
        <color indexed="22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6432">
    <xf numFmtId="0" fontId="0" fillId="0" borderId="0"/>
    <xf numFmtId="0" fontId="3" fillId="0" borderId="0"/>
    <xf numFmtId="0" fontId="4" fillId="0" borderId="0"/>
    <xf numFmtId="0" fontId="83" fillId="0" borderId="0"/>
    <xf numFmtId="0" fontId="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" fillId="0" borderId="0"/>
    <xf numFmtId="205" fontId="9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206" fontId="91" fillId="0" borderId="0" applyFont="0" applyFill="0" applyBorder="0" applyAlignment="0" applyProtection="0"/>
    <xf numFmtId="207" fontId="91" fillId="0" borderId="0" applyFont="0" applyFill="0" applyBorder="0" applyAlignment="0" applyProtection="0"/>
    <xf numFmtId="208" fontId="91" fillId="0" borderId="0" applyFont="0" applyFill="0" applyBorder="0" applyAlignment="0" applyProtection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2" borderId="0"/>
    <xf numFmtId="0" fontId="19" fillId="2" borderId="0"/>
    <xf numFmtId="0" fontId="19" fillId="2" borderId="0"/>
    <xf numFmtId="0" fontId="19" fillId="2" borderId="0"/>
    <xf numFmtId="0" fontId="46" fillId="2" borderId="0"/>
    <xf numFmtId="0" fontId="47" fillId="2" borderId="0"/>
    <xf numFmtId="0" fontId="48" fillId="2" borderId="0"/>
    <xf numFmtId="0" fontId="48" fillId="2" borderId="0"/>
    <xf numFmtId="0" fontId="48" fillId="2" borderId="0"/>
    <xf numFmtId="0" fontId="48" fillId="2" borderId="0"/>
    <xf numFmtId="0" fontId="49" fillId="2" borderId="0"/>
    <xf numFmtId="0" fontId="50" fillId="2" borderId="0"/>
    <xf numFmtId="0" fontId="27" fillId="2" borderId="0"/>
    <xf numFmtId="0" fontId="27" fillId="2" borderId="0"/>
    <xf numFmtId="0" fontId="92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4" fontId="19" fillId="3" borderId="1"/>
    <xf numFmtId="174" fontId="19" fillId="3" borderId="1"/>
    <xf numFmtId="175" fontId="19" fillId="3" borderId="1"/>
    <xf numFmtId="174" fontId="19" fillId="3" borderId="1"/>
    <xf numFmtId="174" fontId="19" fillId="3" borderId="1"/>
    <xf numFmtId="175" fontId="19" fillId="3" borderId="1"/>
    <xf numFmtId="175" fontId="19" fillId="3" borderId="1"/>
    <xf numFmtId="175" fontId="19" fillId="3" borderId="1"/>
    <xf numFmtId="175" fontId="19" fillId="3" borderId="1"/>
    <xf numFmtId="175" fontId="19" fillId="3" borderId="1"/>
    <xf numFmtId="175" fontId="19" fillId="3" borderId="1"/>
    <xf numFmtId="175" fontId="19" fillId="3" borderId="1"/>
    <xf numFmtId="175" fontId="19" fillId="3" borderId="1"/>
    <xf numFmtId="0" fontId="3" fillId="0" borderId="0"/>
    <xf numFmtId="0" fontId="47" fillId="3" borderId="0"/>
    <xf numFmtId="0" fontId="4" fillId="0" borderId="0"/>
    <xf numFmtId="0" fontId="83" fillId="0" borderId="0"/>
    <xf numFmtId="0" fontId="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83" fillId="0" borderId="0"/>
    <xf numFmtId="0" fontId="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83" fillId="0" borderId="0"/>
    <xf numFmtId="0" fontId="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2" borderId="0"/>
    <xf numFmtId="0" fontId="19" fillId="2" borderId="0"/>
    <xf numFmtId="0" fontId="19" fillId="2" borderId="0"/>
    <xf numFmtId="0" fontId="19" fillId="2" borderId="0"/>
    <xf numFmtId="0" fontId="46" fillId="2" borderId="0"/>
    <xf numFmtId="0" fontId="47" fillId="2" borderId="0"/>
    <xf numFmtId="0" fontId="19" fillId="2" borderId="0"/>
    <xf numFmtId="0" fontId="49" fillId="2" borderId="0"/>
    <xf numFmtId="0" fontId="50" fillId="2" borderId="0"/>
    <xf numFmtId="0" fontId="27" fillId="2" borderId="0"/>
    <xf numFmtId="0" fontId="27" fillId="2" borderId="0"/>
    <xf numFmtId="0" fontId="19" fillId="0" borderId="0"/>
    <xf numFmtId="0" fontId="19" fillId="0" borderId="0"/>
    <xf numFmtId="0" fontId="4" fillId="0" borderId="0"/>
    <xf numFmtId="0" fontId="83" fillId="0" borderId="0"/>
    <xf numFmtId="0" fontId="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09" fontId="93" fillId="0" borderId="0" applyFont="0" applyFill="0" applyBorder="0" applyAlignment="0" applyProtection="0"/>
    <xf numFmtId="210" fontId="93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177" fontId="19" fillId="0" borderId="0" applyFont="0" applyFill="0" applyBorder="0" applyAlignment="0" applyProtection="0"/>
    <xf numFmtId="1" fontId="61" fillId="0" borderId="0"/>
    <xf numFmtId="0" fontId="19" fillId="0" borderId="0" applyFont="0" applyFill="0" applyBorder="0" applyAlignment="0" applyProtection="0"/>
    <xf numFmtId="212" fontId="91" fillId="0" borderId="0" applyFont="0" applyFill="0" applyBorder="0" applyAlignment="0" applyProtection="0"/>
    <xf numFmtId="40" fontId="91" fillId="0" borderId="0" applyFont="0" applyFill="0" applyBorder="0" applyAlignment="0" applyProtection="0"/>
    <xf numFmtId="177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1" fontId="61" fillId="0" borderId="0"/>
    <xf numFmtId="178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46" fillId="0" borderId="2" applyFill="0" applyProtection="0">
      <alignment horizontal="center"/>
    </xf>
    <xf numFmtId="0" fontId="46" fillId="0" borderId="2" applyFill="0" applyProtection="0">
      <alignment horizontal="center"/>
    </xf>
    <xf numFmtId="0" fontId="46" fillId="0" borderId="2" applyFill="0" applyProtection="0">
      <alignment horizontal="center"/>
    </xf>
    <xf numFmtId="0" fontId="46" fillId="0" borderId="2" applyFill="0" applyProtection="0">
      <alignment horizont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211" fontId="91" fillId="0" borderId="0" applyFont="0" applyFill="0" applyBorder="0" applyAlignment="0" applyProtection="0"/>
    <xf numFmtId="177" fontId="19" fillId="0" borderId="0" applyFont="0" applyFill="0" applyBorder="0" applyAlignment="0" applyProtection="0"/>
    <xf numFmtId="213" fontId="19" fillId="0" borderId="0" applyFont="0" applyFill="0" applyBorder="0" applyAlignment="0" applyProtection="0"/>
    <xf numFmtId="211" fontId="94" fillId="0" borderId="0" applyFont="0" applyFill="0" applyBorder="0" applyAlignment="0" applyProtection="0"/>
    <xf numFmtId="177" fontId="19" fillId="0" borderId="0" applyNumberFormat="0" applyFill="0" applyBorder="0" applyAlignment="0" applyProtection="0"/>
    <xf numFmtId="177" fontId="2" fillId="0" borderId="0" applyNumberFormat="0" applyFill="0" applyBorder="0" applyAlignment="0" applyProtection="0"/>
    <xf numFmtId="177" fontId="20" fillId="0" borderId="0" applyNumberFormat="0" applyFill="0" applyBorder="0" applyAlignment="0" applyProtection="0"/>
    <xf numFmtId="177" fontId="20" fillId="0" borderId="0" applyNumberFormat="0" applyFill="0" applyBorder="0" applyAlignment="0" applyProtection="0"/>
    <xf numFmtId="177" fontId="20" fillId="0" borderId="0" applyNumberFormat="0" applyFill="0" applyBorder="0" applyAlignment="0" applyProtection="0"/>
    <xf numFmtId="177" fontId="20" fillId="0" borderId="0" applyNumberFormat="0" applyFill="0" applyBorder="0" applyAlignment="0" applyProtection="0"/>
    <xf numFmtId="177" fontId="20" fillId="0" borderId="0" applyNumberFormat="0" applyFill="0" applyBorder="0" applyAlignment="0" applyProtection="0"/>
    <xf numFmtId="177" fontId="20" fillId="0" borderId="0" applyNumberFormat="0" applyFill="0" applyBorder="0" applyAlignment="0" applyProtection="0"/>
    <xf numFmtId="177" fontId="37" fillId="0" borderId="0" applyNumberFormat="0" applyFill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214" fontId="95" fillId="0" borderId="3"/>
    <xf numFmtId="40" fontId="51" fillId="0" borderId="0"/>
    <xf numFmtId="203" fontId="51" fillId="0" borderId="0"/>
    <xf numFmtId="40" fontId="51" fillId="0" borderId="0"/>
    <xf numFmtId="203" fontId="51" fillId="0" borderId="0"/>
    <xf numFmtId="203" fontId="51" fillId="0" borderId="0"/>
    <xf numFmtId="203" fontId="51" fillId="0" borderId="0"/>
    <xf numFmtId="203" fontId="51" fillId="0" borderId="0"/>
    <xf numFmtId="203" fontId="51" fillId="0" borderId="0"/>
    <xf numFmtId="40" fontId="51" fillId="0" borderId="0"/>
    <xf numFmtId="40" fontId="51" fillId="0" borderId="0"/>
    <xf numFmtId="40" fontId="51" fillId="0" borderId="0"/>
    <xf numFmtId="40" fontId="51" fillId="0" borderId="0"/>
    <xf numFmtId="203" fontId="51" fillId="0" borderId="0"/>
    <xf numFmtId="203" fontId="51" fillId="0" borderId="0"/>
    <xf numFmtId="203" fontId="51" fillId="0" borderId="0"/>
    <xf numFmtId="203" fontId="51" fillId="0" borderId="0"/>
    <xf numFmtId="203" fontId="51" fillId="0" borderId="0"/>
    <xf numFmtId="179" fontId="51" fillId="0" borderId="0"/>
    <xf numFmtId="40" fontId="51" fillId="0" borderId="0"/>
    <xf numFmtId="180" fontId="27" fillId="0" borderId="0"/>
    <xf numFmtId="180" fontId="27" fillId="0" borderId="0"/>
    <xf numFmtId="215" fontId="95" fillId="0" borderId="4"/>
    <xf numFmtId="181" fontId="51" fillId="0" borderId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215" fontId="95" fillId="0" borderId="4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1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6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7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16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6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182" fontId="27" fillId="0" borderId="0"/>
    <xf numFmtId="182" fontId="27" fillId="0" borderId="0"/>
    <xf numFmtId="183" fontId="27" fillId="0" borderId="0"/>
    <xf numFmtId="183" fontId="27" fillId="0" borderId="0"/>
    <xf numFmtId="0" fontId="52" fillId="0" borderId="5" applyBorder="0"/>
    <xf numFmtId="0" fontId="84" fillId="0" borderId="5" applyBorder="0"/>
    <xf numFmtId="0" fontId="52" fillId="0" borderId="5" applyBorder="0"/>
    <xf numFmtId="0" fontId="84" fillId="0" borderId="5" applyBorder="0"/>
    <xf numFmtId="0" fontId="84" fillId="0" borderId="5" applyBorder="0"/>
    <xf numFmtId="0" fontId="84" fillId="0" borderId="5" applyBorder="0"/>
    <xf numFmtId="0" fontId="84" fillId="0" borderId="5" applyBorder="0"/>
    <xf numFmtId="0" fontId="84" fillId="0" borderId="5" applyBorder="0"/>
    <xf numFmtId="0" fontId="52" fillId="0" borderId="5" applyBorder="0"/>
    <xf numFmtId="0" fontId="52" fillId="0" borderId="5" applyBorder="0"/>
    <xf numFmtId="0" fontId="52" fillId="0" borderId="5" applyBorder="0"/>
    <xf numFmtId="0" fontId="52" fillId="0" borderId="5" applyBorder="0"/>
    <xf numFmtId="0" fontId="84" fillId="0" borderId="5" applyBorder="0"/>
    <xf numFmtId="0" fontId="84" fillId="0" borderId="5" applyBorder="0"/>
    <xf numFmtId="0" fontId="84" fillId="0" borderId="5" applyBorder="0"/>
    <xf numFmtId="0" fontId="84" fillId="0" borderId="5" applyBorder="0"/>
    <xf numFmtId="0" fontId="84" fillId="0" borderId="5" applyBorder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7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2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7" borderId="0" applyNumberFormat="0" applyBorder="0" applyAlignment="0" applyProtection="0"/>
    <xf numFmtId="0" fontId="96" fillId="0" borderId="0">
      <alignment horizontal="center" wrapText="1"/>
      <protection locked="0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1" fillId="26" borderId="6" applyNumberFormat="0" applyAlignment="0" applyProtection="0"/>
    <xf numFmtId="0" fontId="97" fillId="0" borderId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10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26" borderId="7" applyNumberFormat="0" applyAlignment="0" applyProtection="0"/>
    <xf numFmtId="184" fontId="2" fillId="0" borderId="0">
      <alignment wrapText="1"/>
    </xf>
    <xf numFmtId="184" fontId="20" fillId="0" borderId="0">
      <alignment wrapText="1"/>
    </xf>
    <xf numFmtId="184" fontId="20" fillId="0" borderId="0">
      <alignment wrapText="1"/>
    </xf>
    <xf numFmtId="184" fontId="20" fillId="0" borderId="0">
      <alignment wrapText="1"/>
    </xf>
    <xf numFmtId="184" fontId="20" fillId="0" borderId="0">
      <alignment wrapText="1"/>
    </xf>
    <xf numFmtId="184" fontId="20" fillId="0" borderId="0">
      <alignment wrapText="1"/>
    </xf>
    <xf numFmtId="184" fontId="20" fillId="0" borderId="0">
      <alignment wrapText="1"/>
    </xf>
    <xf numFmtId="216" fontId="96" fillId="0" borderId="0" applyFont="0" applyFill="0" applyBorder="0" applyAlignment="0" applyProtection="0"/>
    <xf numFmtId="0" fontId="53" fillId="0" borderId="0" applyNumberFormat="0" applyFill="0" applyBorder="0"/>
    <xf numFmtId="38" fontId="54" fillId="0" borderId="0" applyFill="0" applyBorder="0"/>
    <xf numFmtId="0" fontId="11" fillId="8" borderId="0" applyNumberFormat="0" applyBorder="0" applyAlignment="0" applyProtection="0"/>
    <xf numFmtId="0" fontId="98" fillId="0" borderId="0" applyNumberFormat="0" applyFill="0" applyBorder="0" applyProtection="0">
      <alignment horizontal="left"/>
    </xf>
    <xf numFmtId="0" fontId="55" fillId="0" borderId="0"/>
    <xf numFmtId="0" fontId="56" fillId="0" borderId="0" applyFill="0" applyBorder="0" applyAlignment="0"/>
    <xf numFmtId="0" fontId="85" fillId="0" borderId="0" applyFill="0" applyBorder="0" applyAlignment="0"/>
    <xf numFmtId="0" fontId="56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56" fillId="0" borderId="0" applyFill="0" applyBorder="0" applyAlignment="0"/>
    <xf numFmtId="0" fontId="56" fillId="0" borderId="0" applyFill="0" applyBorder="0" applyAlignment="0"/>
    <xf numFmtId="0" fontId="56" fillId="0" borderId="0" applyFill="0" applyBorder="0" applyAlignment="0"/>
    <xf numFmtId="0" fontId="56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0" fontId="85" fillId="0" borderId="0" applyFill="0" applyBorder="0" applyAlignment="0"/>
    <xf numFmtId="185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99" fillId="27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8" fillId="26" borderId="7" applyNumberFormat="0" applyAlignment="0" applyProtection="0"/>
    <xf numFmtId="0" fontId="100" fillId="0" borderId="0"/>
    <xf numFmtId="0" fontId="9" fillId="28" borderId="8" applyNumberFormat="0" applyAlignment="0" applyProtection="0"/>
    <xf numFmtId="0" fontId="17" fillId="0" borderId="9" applyNumberFormat="0" applyFill="0" applyAlignment="0" applyProtection="0"/>
    <xf numFmtId="0" fontId="101" fillId="0" borderId="0">
      <alignment horizontal="center"/>
    </xf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9" fillId="28" borderId="8" applyNumberFormat="0" applyAlignment="0" applyProtection="0"/>
    <xf numFmtId="0" fontId="58" fillId="0" borderId="0" applyNumberFormat="0" applyFill="0" applyBorder="0" applyAlignment="0" applyProtection="0">
      <alignment vertical="top"/>
      <protection locked="0"/>
    </xf>
    <xf numFmtId="0" fontId="101" fillId="0" borderId="0">
      <alignment horizontal="center"/>
    </xf>
    <xf numFmtId="0" fontId="102" fillId="0" borderId="10">
      <alignment horizontal="center"/>
    </xf>
    <xf numFmtId="0" fontId="103" fillId="0" borderId="0" applyNumberFormat="0" applyFill="0" applyBorder="0" applyProtection="0">
      <alignment horizontal="right"/>
    </xf>
    <xf numFmtId="186" fontId="59" fillId="0" borderId="0"/>
    <xf numFmtId="186" fontId="59" fillId="0" borderId="0"/>
    <xf numFmtId="186" fontId="59" fillId="0" borderId="0"/>
    <xf numFmtId="186" fontId="59" fillId="0" borderId="0"/>
    <xf numFmtId="186" fontId="59" fillId="0" borderId="0"/>
    <xf numFmtId="186" fontId="59" fillId="0" borderId="0"/>
    <xf numFmtId="186" fontId="59" fillId="0" borderId="0"/>
    <xf numFmtId="186" fontId="59" fillId="0" borderId="0"/>
    <xf numFmtId="164" fontId="3" fillId="0" borderId="0" applyFont="0" applyFill="0" applyBorder="0" applyAlignment="0" applyProtection="0">
      <alignment vertical="center"/>
    </xf>
    <xf numFmtId="166" fontId="3" fillId="0" borderId="0" applyFont="0" applyFill="0" applyBorder="0" applyAlignment="0" applyProtection="0">
      <alignment vertical="center"/>
    </xf>
    <xf numFmtId="187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218" fontId="19" fillId="0" borderId="0" applyFont="0" applyFill="0" applyBorder="0" applyAlignment="0" applyProtection="0"/>
    <xf numFmtId="188" fontId="60" fillId="0" borderId="0" applyFont="0" applyFill="0" applyBorder="0" applyAlignment="0" applyProtection="0"/>
    <xf numFmtId="43" fontId="19" fillId="0" borderId="0" applyFont="0" applyFill="0" applyBorder="0" applyAlignment="0" applyProtection="0"/>
    <xf numFmtId="40" fontId="61" fillId="0" borderId="0" applyFont="0" applyFill="0" applyBorder="0" applyAlignment="0" applyProtection="0"/>
    <xf numFmtId="3" fontId="19" fillId="0" borderId="0" applyFont="0" applyFill="0" applyBorder="0" applyAlignment="0" applyProtection="0"/>
    <xf numFmtId="0" fontId="104" fillId="0" borderId="0" applyNumberFormat="0" applyAlignment="0">
      <alignment horizontal="left"/>
    </xf>
    <xf numFmtId="0" fontId="57" fillId="0" borderId="0" applyNumberFormat="0" applyAlignment="0"/>
    <xf numFmtId="219" fontId="105" fillId="0" borderId="0">
      <alignment horizontal="center"/>
    </xf>
    <xf numFmtId="219" fontId="105" fillId="0" borderId="0">
      <alignment horizontal="center"/>
    </xf>
    <xf numFmtId="219" fontId="105" fillId="0" borderId="0">
      <alignment horizontal="center"/>
    </xf>
    <xf numFmtId="219" fontId="105" fillId="0" borderId="0">
      <alignment horizontal="center"/>
    </xf>
    <xf numFmtId="219" fontId="105" fillId="0" borderId="0">
      <alignment horizontal="center"/>
    </xf>
    <xf numFmtId="219" fontId="105" fillId="0" borderId="0">
      <alignment horizontal="center"/>
    </xf>
    <xf numFmtId="219" fontId="105" fillId="0" borderId="0">
      <alignment horizontal="center"/>
    </xf>
    <xf numFmtId="219" fontId="105" fillId="0" borderId="0">
      <alignment horizontal="center"/>
    </xf>
    <xf numFmtId="219" fontId="105" fillId="0" borderId="0">
      <alignment horizontal="center"/>
    </xf>
    <xf numFmtId="219" fontId="105" fillId="0" borderId="0">
      <alignment horizontal="center"/>
    </xf>
    <xf numFmtId="185" fontId="57" fillId="0" borderId="0" applyFont="0" applyFill="0" applyBorder="0" applyAlignment="0" applyProtection="0"/>
    <xf numFmtId="217" fontId="57" fillId="0" borderId="0" applyFont="0" applyFill="0" applyBorder="0" applyAlignment="0" applyProtection="0"/>
    <xf numFmtId="217" fontId="57" fillId="0" borderId="0" applyFont="0" applyFill="0" applyBorder="0" applyAlignment="0" applyProtection="0"/>
    <xf numFmtId="217" fontId="57" fillId="0" borderId="0" applyFont="0" applyFill="0" applyBorder="0" applyAlignment="0" applyProtection="0"/>
    <xf numFmtId="217" fontId="57" fillId="0" borderId="0" applyFont="0" applyFill="0" applyBorder="0" applyAlignment="0" applyProtection="0"/>
    <xf numFmtId="217" fontId="57" fillId="0" borderId="0" applyFont="0" applyFill="0" applyBorder="0" applyAlignment="0" applyProtection="0"/>
    <xf numFmtId="217" fontId="57" fillId="0" borderId="0" applyFont="0" applyFill="0" applyBorder="0" applyAlignment="0" applyProtection="0"/>
    <xf numFmtId="217" fontId="57" fillId="0" borderId="0" applyFont="0" applyFill="0" applyBorder="0" applyAlignment="0" applyProtection="0"/>
    <xf numFmtId="217" fontId="57" fillId="0" borderId="0" applyFont="0" applyFill="0" applyBorder="0" applyAlignment="0" applyProtection="0"/>
    <xf numFmtId="217" fontId="57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65" fontId="82" fillId="0" borderId="0" applyFont="0" applyFill="0" applyBorder="0" applyAlignment="0" applyProtection="0"/>
    <xf numFmtId="5" fontId="19" fillId="0" borderId="0" applyFont="0" applyFill="0" applyBorder="0" applyAlignment="0" applyProtection="0"/>
    <xf numFmtId="189" fontId="19" fillId="2" borderId="0" applyFont="0" applyBorder="0"/>
    <xf numFmtId="220" fontId="19" fillId="2" borderId="0" applyFont="0" applyBorder="0"/>
    <xf numFmtId="220" fontId="19" fillId="2" borderId="0" applyFont="0" applyBorder="0"/>
    <xf numFmtId="220" fontId="19" fillId="2" borderId="0" applyFont="0" applyBorder="0"/>
    <xf numFmtId="220" fontId="19" fillId="2" borderId="0" applyFont="0" applyBorder="0"/>
    <xf numFmtId="220" fontId="19" fillId="2" borderId="0" applyFont="0" applyBorder="0"/>
    <xf numFmtId="220" fontId="19" fillId="2" borderId="0" applyFont="0" applyBorder="0"/>
    <xf numFmtId="220" fontId="19" fillId="2" borderId="0" applyFont="0" applyBorder="0"/>
    <xf numFmtId="220" fontId="19" fillId="2" borderId="0" applyFont="0" applyBorder="0"/>
    <xf numFmtId="220" fontId="19" fillId="2" borderId="0" applyFont="0" applyBorder="0"/>
    <xf numFmtId="220" fontId="19" fillId="2" borderId="0" applyFont="0" applyBorder="0"/>
    <xf numFmtId="220" fontId="19" fillId="2" borderId="0" applyFont="0" applyBorder="0"/>
    <xf numFmtId="220" fontId="19" fillId="2" borderId="0" applyFont="0" applyBorder="0"/>
    <xf numFmtId="15" fontId="61" fillId="0" borderId="0"/>
    <xf numFmtId="0" fontId="89" fillId="0" borderId="0"/>
    <xf numFmtId="15" fontId="61" fillId="0" borderId="0"/>
    <xf numFmtId="15" fontId="61" fillId="0" borderId="0"/>
    <xf numFmtId="15" fontId="61" fillId="0" borderId="0"/>
    <xf numFmtId="15" fontId="61" fillId="0" borderId="0"/>
    <xf numFmtId="15" fontId="61" fillId="0" borderId="0"/>
    <xf numFmtId="15" fontId="61" fillId="0" borderId="0"/>
    <xf numFmtId="15" fontId="61" fillId="0" borderId="0"/>
    <xf numFmtId="15" fontId="61" fillId="0" borderId="0"/>
    <xf numFmtId="15" fontId="61" fillId="0" borderId="0"/>
    <xf numFmtId="15" fontId="61" fillId="0" borderId="0"/>
    <xf numFmtId="15" fontId="61" fillId="0" borderId="0"/>
    <xf numFmtId="15" fontId="61" fillId="0" borderId="0"/>
    <xf numFmtId="15" fontId="61" fillId="0" borderId="0"/>
    <xf numFmtId="14" fontId="62" fillId="0" borderId="0" applyFill="0" applyBorder="0" applyAlignment="0"/>
    <xf numFmtId="221" fontId="19" fillId="0" borderId="0" applyFont="0" applyFill="0" applyBorder="0" applyProtection="0">
      <alignment horizontal="centerContinuous"/>
    </xf>
    <xf numFmtId="222" fontId="19" fillId="0" borderId="0" applyFont="0" applyFill="0" applyBorder="0" applyAlignment="0" applyProtection="0"/>
    <xf numFmtId="4" fontId="89" fillId="0" borderId="0" applyFont="0" applyFill="0" applyBorder="0" applyAlignment="0" applyProtection="0"/>
    <xf numFmtId="223" fontId="19" fillId="0" borderId="0" applyFont="0" applyFill="0" applyBorder="0" applyAlignment="0" applyProtection="0"/>
    <xf numFmtId="0" fontId="106" fillId="0" borderId="0" applyNumberFormat="0" applyFill="0" applyBorder="0" applyProtection="0">
      <alignment horizontal="left"/>
    </xf>
    <xf numFmtId="0" fontId="16" fillId="11" borderId="7" applyNumberFormat="0" applyAlignment="0" applyProtection="0"/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4" fillId="0" borderId="0" applyNumberFormat="0" applyFill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7" borderId="0" applyNumberFormat="0" applyBorder="0" applyAlignment="0" applyProtection="0"/>
    <xf numFmtId="187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185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187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190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185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0" fontId="107" fillId="0" borderId="0" applyNumberFormat="0" applyAlignment="0">
      <alignment horizontal="left"/>
    </xf>
    <xf numFmtId="0" fontId="16" fillId="11" borderId="7" applyNumberFormat="0" applyAlignment="0" applyProtection="0"/>
    <xf numFmtId="0" fontId="27" fillId="0" borderId="0"/>
    <xf numFmtId="0" fontId="27" fillId="0" borderId="0"/>
    <xf numFmtId="0" fontId="24" fillId="0" borderId="11" applyNumberFormat="0" applyFill="0" applyAlignment="0" applyProtection="0"/>
    <xf numFmtId="0" fontId="10" fillId="0" borderId="0" applyNumberFormat="0" applyFill="0" applyBorder="0" applyAlignment="0" applyProtection="0"/>
    <xf numFmtId="0" fontId="108" fillId="0" borderId="0" applyNumberFormat="0" applyFill="0" applyBorder="0" applyProtection="0">
      <alignment horizontal="right"/>
    </xf>
    <xf numFmtId="191" fontId="1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225" fontId="61" fillId="0" borderId="0" applyNumberFormat="0" applyFont="0" applyFill="0" applyBorder="0" applyProtection="0">
      <alignment horizontal="fill"/>
    </xf>
    <xf numFmtId="2" fontId="19" fillId="0" borderId="0" applyFont="0" applyFill="0" applyBorder="0" applyAlignment="0" applyProtection="0"/>
    <xf numFmtId="0" fontId="109" fillId="0" borderId="0" applyNumberFormat="0" applyFill="0" applyBorder="0" applyProtection="0">
      <alignment horizontal="right"/>
    </xf>
    <xf numFmtId="9" fontId="110" fillId="0" borderId="0" applyFont="0" applyFill="0" applyBorder="0" applyAlignment="0" applyProtection="0"/>
    <xf numFmtId="37" fontId="51" fillId="0" borderId="0"/>
    <xf numFmtId="204" fontId="51" fillId="0" borderId="0"/>
    <xf numFmtId="37" fontId="51" fillId="0" borderId="0"/>
    <xf numFmtId="204" fontId="51" fillId="0" borderId="0"/>
    <xf numFmtId="204" fontId="51" fillId="0" borderId="0"/>
    <xf numFmtId="204" fontId="51" fillId="0" borderId="0"/>
    <xf numFmtId="204" fontId="51" fillId="0" borderId="0"/>
    <xf numFmtId="204" fontId="51" fillId="0" borderId="0"/>
    <xf numFmtId="37" fontId="51" fillId="0" borderId="0"/>
    <xf numFmtId="37" fontId="51" fillId="0" borderId="0"/>
    <xf numFmtId="37" fontId="51" fillId="0" borderId="0"/>
    <xf numFmtId="37" fontId="51" fillId="0" borderId="0"/>
    <xf numFmtId="204" fontId="51" fillId="0" borderId="0"/>
    <xf numFmtId="204" fontId="51" fillId="0" borderId="0"/>
    <xf numFmtId="204" fontId="51" fillId="0" borderId="0"/>
    <xf numFmtId="204" fontId="51" fillId="0" borderId="0"/>
    <xf numFmtId="204" fontId="51" fillId="0" borderId="0"/>
    <xf numFmtId="0" fontId="61" fillId="0" borderId="0" applyFont="0" applyFill="0" applyBorder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38" fontId="27" fillId="2" borderId="0" applyNumberFormat="0" applyBorder="0" applyAlignment="0" applyProtection="0"/>
    <xf numFmtId="38" fontId="27" fillId="29" borderId="0" applyNumberFormat="0" applyBorder="0" applyAlignment="0" applyProtection="0"/>
    <xf numFmtId="38" fontId="27" fillId="29" borderId="0" applyNumberFormat="0" applyBorder="0" applyAlignment="0" applyProtection="0"/>
    <xf numFmtId="38" fontId="27" fillId="29" borderId="0" applyNumberFormat="0" applyBorder="0" applyAlignment="0" applyProtection="0"/>
    <xf numFmtId="38" fontId="27" fillId="29" borderId="0" applyNumberFormat="0" applyBorder="0" applyAlignment="0" applyProtection="0"/>
    <xf numFmtId="38" fontId="27" fillId="29" borderId="0" applyNumberFormat="0" applyBorder="0" applyAlignment="0" applyProtection="0"/>
    <xf numFmtId="38" fontId="27" fillId="29" borderId="0" applyNumberFormat="0" applyBorder="0" applyAlignment="0" applyProtection="0"/>
    <xf numFmtId="38" fontId="27" fillId="29" borderId="0" applyNumberFormat="0" applyBorder="0" applyAlignment="0" applyProtection="0"/>
    <xf numFmtId="38" fontId="27" fillId="29" borderId="0" applyNumberFormat="0" applyBorder="0" applyAlignment="0" applyProtection="0"/>
    <xf numFmtId="38" fontId="27" fillId="29" borderId="0" applyNumberFormat="0" applyBorder="0" applyAlignment="0" applyProtection="0"/>
    <xf numFmtId="38" fontId="27" fillId="29" borderId="0" applyNumberFormat="0" applyBorder="0" applyAlignment="0" applyProtection="0"/>
    <xf numFmtId="38" fontId="27" fillId="29" borderId="0" applyNumberFormat="0" applyBorder="0" applyAlignment="0" applyProtection="0"/>
    <xf numFmtId="38" fontId="27" fillId="29" borderId="0" applyNumberFormat="0" applyBorder="0" applyAlignment="0" applyProtection="0"/>
    <xf numFmtId="38" fontId="27" fillId="29" borderId="0" applyNumberFormat="0" applyBorder="0" applyAlignment="0" applyProtection="0"/>
    <xf numFmtId="38" fontId="27" fillId="29" borderId="0" applyNumberFormat="0" applyBorder="0" applyAlignment="0" applyProtection="0"/>
    <xf numFmtId="38" fontId="27" fillId="29" borderId="0" applyNumberFormat="0" applyBorder="0" applyAlignment="0" applyProtection="0"/>
    <xf numFmtId="38" fontId="27" fillId="29" borderId="0" applyNumberFormat="0" applyBorder="0" applyAlignment="0" applyProtection="0"/>
    <xf numFmtId="38" fontId="27" fillId="2" borderId="0" applyNumberFormat="0" applyBorder="0" applyAlignment="0" applyProtection="0"/>
    <xf numFmtId="38" fontId="27" fillId="29" borderId="0" applyNumberFormat="0" applyBorder="0" applyAlignment="0" applyProtection="0"/>
    <xf numFmtId="0" fontId="11" fillId="8" borderId="0" applyNumberFormat="0" applyBorder="0" applyAlignment="0" applyProtection="0"/>
    <xf numFmtId="0" fontId="111" fillId="0" borderId="0">
      <alignment horizontal="left"/>
    </xf>
    <xf numFmtId="0" fontId="31" fillId="0" borderId="12" applyNumberFormat="0" applyAlignment="0" applyProtection="0">
      <alignment horizontal="left" vertical="center"/>
    </xf>
    <xf numFmtId="0" fontId="31" fillId="0" borderId="13">
      <alignment horizontal="left" vertical="center"/>
    </xf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32" fillId="0" borderId="0" applyNumberFormat="0" applyFill="0" applyBorder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12" fillId="0" borderId="17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13" fillId="0" borderId="18">
      <alignment horizontal="center"/>
    </xf>
    <xf numFmtId="0" fontId="113" fillId="0" borderId="0">
      <alignment horizontal="center"/>
    </xf>
    <xf numFmtId="0" fontId="15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16" fillId="11" borderId="7" applyNumberFormat="0" applyAlignment="0" applyProtection="0"/>
    <xf numFmtId="10" fontId="27" fillId="3" borderId="19" applyNumberFormat="0" applyBorder="0" applyAlignment="0" applyProtection="0"/>
    <xf numFmtId="10" fontId="27" fillId="29" borderId="19" applyNumberFormat="0" applyBorder="0" applyAlignment="0" applyProtection="0"/>
    <xf numFmtId="10" fontId="27" fillId="29" borderId="19" applyNumberFormat="0" applyBorder="0" applyAlignment="0" applyProtection="0"/>
    <xf numFmtId="10" fontId="27" fillId="29" borderId="19" applyNumberFormat="0" applyBorder="0" applyAlignment="0" applyProtection="0"/>
    <xf numFmtId="10" fontId="27" fillId="29" borderId="19" applyNumberFormat="0" applyBorder="0" applyAlignment="0" applyProtection="0"/>
    <xf numFmtId="10" fontId="27" fillId="29" borderId="19" applyNumberFormat="0" applyBorder="0" applyAlignment="0" applyProtection="0"/>
    <xf numFmtId="10" fontId="27" fillId="29" borderId="19" applyNumberFormat="0" applyBorder="0" applyAlignment="0" applyProtection="0"/>
    <xf numFmtId="10" fontId="27" fillId="29" borderId="19" applyNumberFormat="0" applyBorder="0" applyAlignment="0" applyProtection="0"/>
    <xf numFmtId="10" fontId="27" fillId="29" borderId="19" applyNumberFormat="0" applyBorder="0" applyAlignment="0" applyProtection="0"/>
    <xf numFmtId="10" fontId="27" fillId="29" borderId="19" applyNumberFormat="0" applyBorder="0" applyAlignment="0" applyProtection="0"/>
    <xf numFmtId="10" fontId="27" fillId="29" borderId="19" applyNumberFormat="0" applyBorder="0" applyAlignment="0" applyProtection="0"/>
    <xf numFmtId="10" fontId="27" fillId="29" borderId="19" applyNumberFormat="0" applyBorder="0" applyAlignment="0" applyProtection="0"/>
    <xf numFmtId="10" fontId="27" fillId="29" borderId="19" applyNumberFormat="0" applyBorder="0" applyAlignment="0" applyProtection="0"/>
    <xf numFmtId="10" fontId="27" fillId="29" borderId="19" applyNumberFormat="0" applyBorder="0" applyAlignment="0" applyProtection="0"/>
    <xf numFmtId="10" fontId="27" fillId="29" borderId="19" applyNumberFormat="0" applyBorder="0" applyAlignment="0" applyProtection="0"/>
    <xf numFmtId="10" fontId="27" fillId="29" borderId="19" applyNumberFormat="0" applyBorder="0" applyAlignment="0" applyProtection="0"/>
    <xf numFmtId="10" fontId="27" fillId="29" borderId="19" applyNumberFormat="0" applyBorder="0" applyAlignment="0" applyProtection="0"/>
    <xf numFmtId="10" fontId="27" fillId="3" borderId="19" applyNumberFormat="0" applyBorder="0" applyAlignment="0" applyProtection="0"/>
    <xf numFmtId="10" fontId="27" fillId="29" borderId="19" applyNumberFormat="0" applyBorder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4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4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0" fontId="16" fillId="11" borderId="7" applyNumberFormat="0" applyAlignment="0" applyProtection="0"/>
    <xf numFmtId="225" fontId="84" fillId="30" borderId="0"/>
    <xf numFmtId="0" fontId="71" fillId="0" borderId="0" applyNumberFormat="0" applyFill="0" applyBorder="0" applyProtection="0">
      <alignment horizontal="left"/>
    </xf>
    <xf numFmtId="187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185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187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190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185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25" fillId="0" borderId="20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225" fontId="114" fillId="31" borderId="0"/>
    <xf numFmtId="0" fontId="2" fillId="1" borderId="0" applyNumberFormat="0" applyFont="0" applyBorder="0" applyAlignment="0" applyProtection="0"/>
    <xf numFmtId="0" fontId="20" fillId="1" borderId="0" applyNumberFormat="0" applyFont="0" applyBorder="0" applyAlignment="0" applyProtection="0"/>
    <xf numFmtId="0" fontId="20" fillId="1" borderId="0" applyNumberFormat="0" applyFont="0" applyBorder="0" applyAlignment="0" applyProtection="0"/>
    <xf numFmtId="0" fontId="20" fillId="1" borderId="0" applyNumberFormat="0" applyFont="0" applyBorder="0" applyAlignment="0" applyProtection="0"/>
    <xf numFmtId="0" fontId="20" fillId="1" borderId="0" applyNumberFormat="0" applyFont="0" applyBorder="0" applyAlignment="0" applyProtection="0"/>
    <xf numFmtId="0" fontId="20" fillId="1" borderId="0" applyNumberFormat="0" applyFont="0" applyBorder="0" applyAlignment="0" applyProtection="0"/>
    <xf numFmtId="0" fontId="20" fillId="1" borderId="0" applyNumberFormat="0" applyFont="0" applyBorder="0" applyAlignment="0" applyProtection="0"/>
    <xf numFmtId="0" fontId="2" fillId="0" borderId="0" applyNumberFormat="0" applyFont="0" applyBorder="0" applyAlignment="0" applyProtection="0"/>
    <xf numFmtId="0" fontId="20" fillId="0" borderId="0" applyNumberFormat="0" applyFont="0" applyBorder="0" applyAlignment="0" applyProtection="0"/>
    <xf numFmtId="0" fontId="20" fillId="0" borderId="0" applyNumberFormat="0" applyFont="0" applyBorder="0" applyAlignment="0" applyProtection="0"/>
    <xf numFmtId="0" fontId="20" fillId="0" borderId="0" applyNumberFormat="0" applyFont="0" applyBorder="0" applyAlignment="0" applyProtection="0"/>
    <xf numFmtId="0" fontId="20" fillId="0" borderId="0" applyNumberFormat="0" applyFont="0" applyBorder="0" applyAlignment="0" applyProtection="0"/>
    <xf numFmtId="0" fontId="20" fillId="0" borderId="0" applyNumberFormat="0" applyFont="0" applyBorder="0" applyAlignment="0" applyProtection="0"/>
    <xf numFmtId="0" fontId="20" fillId="0" borderId="0" applyNumberFormat="0" applyFont="0" applyBorder="0" applyAlignment="0" applyProtection="0"/>
    <xf numFmtId="0" fontId="2" fillId="32" borderId="0" applyNumberFormat="0" applyFont="0" applyBorder="0" applyAlignment="0" applyProtection="0"/>
    <xf numFmtId="0" fontId="20" fillId="32" borderId="0" applyNumberFormat="0" applyFont="0" applyBorder="0" applyAlignment="0" applyProtection="0"/>
    <xf numFmtId="0" fontId="20" fillId="32" borderId="0" applyNumberFormat="0" applyFont="0" applyBorder="0" applyAlignment="0" applyProtection="0"/>
    <xf numFmtId="0" fontId="20" fillId="32" borderId="0" applyNumberFormat="0" applyFont="0" applyBorder="0" applyAlignment="0" applyProtection="0"/>
    <xf numFmtId="0" fontId="20" fillId="32" borderId="0" applyNumberFormat="0" applyFont="0" applyBorder="0" applyAlignment="0" applyProtection="0"/>
    <xf numFmtId="0" fontId="20" fillId="32" borderId="0" applyNumberFormat="0" applyFont="0" applyBorder="0" applyAlignment="0" applyProtection="0"/>
    <xf numFmtId="0" fontId="20" fillId="32" borderId="0" applyNumberFormat="0" applyFont="0" applyBorder="0" applyAlignment="0" applyProtection="0"/>
    <xf numFmtId="0" fontId="2" fillId="33" borderId="0" applyNumberFormat="0" applyFont="0" applyBorder="0" applyAlignment="0" applyProtection="0"/>
    <xf numFmtId="0" fontId="20" fillId="33" borderId="0" applyNumberFormat="0" applyFont="0" applyBorder="0" applyAlignment="0" applyProtection="0"/>
    <xf numFmtId="0" fontId="20" fillId="33" borderId="0" applyNumberFormat="0" applyFont="0" applyBorder="0" applyAlignment="0" applyProtection="0"/>
    <xf numFmtId="0" fontId="20" fillId="33" borderId="0" applyNumberFormat="0" applyFont="0" applyBorder="0" applyAlignment="0" applyProtection="0"/>
    <xf numFmtId="0" fontId="20" fillId="33" borderId="0" applyNumberFormat="0" applyFont="0" applyBorder="0" applyAlignment="0" applyProtection="0"/>
    <xf numFmtId="0" fontId="20" fillId="33" borderId="0" applyNumberFormat="0" applyFont="0" applyBorder="0" applyAlignment="0" applyProtection="0"/>
    <xf numFmtId="0" fontId="20" fillId="33" borderId="0" applyNumberFormat="0" applyFont="0" applyBorder="0" applyAlignment="0" applyProtection="0"/>
    <xf numFmtId="192" fontId="63" fillId="0" borderId="0" applyFont="0" applyFill="0" applyBorder="0" applyAlignment="0" applyProtection="0"/>
    <xf numFmtId="40" fontId="63" fillId="0" borderId="0" applyFont="0" applyFill="0" applyBorder="0" applyAlignment="0" applyProtection="0"/>
    <xf numFmtId="38" fontId="61" fillId="0" borderId="0" applyFont="0" applyFill="0" applyBorder="0" applyAlignment="0" applyProtection="0"/>
    <xf numFmtId="40" fontId="61" fillId="0" borderId="0" applyFont="0" applyFill="0" applyBorder="0" applyAlignment="0" applyProtection="0"/>
    <xf numFmtId="0" fontId="2" fillId="0" borderId="0" applyFont="0" applyFill="0" applyBorder="0" applyAlignment="0" applyProtection="0">
      <alignment vertical="center"/>
    </xf>
    <xf numFmtId="0" fontId="20" fillId="0" borderId="0" applyFont="0" applyFill="0" applyBorder="0" applyAlignment="0" applyProtection="0">
      <alignment vertical="center"/>
    </xf>
    <xf numFmtId="0" fontId="20" fillId="0" borderId="0" applyFont="0" applyFill="0" applyBorder="0" applyAlignment="0" applyProtection="0">
      <alignment vertical="center"/>
    </xf>
    <xf numFmtId="0" fontId="20" fillId="0" borderId="0" applyFont="0" applyFill="0" applyBorder="0" applyAlignment="0" applyProtection="0">
      <alignment vertical="center"/>
    </xf>
    <xf numFmtId="0" fontId="20" fillId="0" borderId="0" applyFont="0" applyFill="0" applyBorder="0" applyAlignment="0" applyProtection="0">
      <alignment vertical="center"/>
    </xf>
    <xf numFmtId="0" fontId="20" fillId="0" borderId="0" applyFont="0" applyFill="0" applyBorder="0" applyAlignment="0" applyProtection="0">
      <alignment vertical="center"/>
    </xf>
    <xf numFmtId="0" fontId="20" fillId="0" borderId="0" applyFont="0" applyFill="0" applyBorder="0" applyAlignment="0" applyProtection="0">
      <alignment vertical="center"/>
    </xf>
    <xf numFmtId="0" fontId="115" fillId="0" borderId="18"/>
    <xf numFmtId="226" fontId="105" fillId="0" borderId="0" applyFont="0" applyFill="0" applyBorder="0" applyAlignment="0" applyProtection="0"/>
    <xf numFmtId="227" fontId="105" fillId="0" borderId="0" applyFont="0" applyFill="0" applyBorder="0" applyAlignment="0" applyProtection="0"/>
    <xf numFmtId="193" fontId="61" fillId="0" borderId="0" applyFont="0" applyFill="0" applyBorder="0" applyAlignment="0" applyProtection="0"/>
    <xf numFmtId="194" fontId="61" fillId="0" borderId="0" applyFont="0" applyFill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16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37" fontId="117" fillId="0" borderId="0"/>
    <xf numFmtId="195" fontId="64" fillId="0" borderId="0"/>
    <xf numFmtId="195" fontId="86" fillId="0" borderId="0"/>
    <xf numFmtId="195" fontId="64" fillId="0" borderId="0"/>
    <xf numFmtId="195" fontId="86" fillId="0" borderId="0"/>
    <xf numFmtId="195" fontId="86" fillId="0" borderId="0"/>
    <xf numFmtId="195" fontId="86" fillId="0" borderId="0"/>
    <xf numFmtId="195" fontId="86" fillId="0" borderId="0"/>
    <xf numFmtId="195" fontId="86" fillId="0" borderId="0"/>
    <xf numFmtId="195" fontId="64" fillId="0" borderId="0"/>
    <xf numFmtId="195" fontId="64" fillId="0" borderId="0"/>
    <xf numFmtId="195" fontId="64" fillId="0" borderId="0"/>
    <xf numFmtId="195" fontId="64" fillId="0" borderId="0"/>
    <xf numFmtId="195" fontId="86" fillId="0" borderId="0"/>
    <xf numFmtId="195" fontId="86" fillId="0" borderId="0"/>
    <xf numFmtId="195" fontId="86" fillId="0" borderId="0"/>
    <xf numFmtId="195" fontId="86" fillId="0" borderId="0"/>
    <xf numFmtId="195" fontId="86" fillId="0" borderId="0"/>
    <xf numFmtId="0" fontId="2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33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5" fillId="0" borderId="0">
      <alignment vertical="center"/>
    </xf>
    <xf numFmtId="0" fontId="5" fillId="0" borderId="0">
      <alignment vertical="center"/>
    </xf>
    <xf numFmtId="0" fontId="61" fillId="0" borderId="0"/>
    <xf numFmtId="0" fontId="5" fillId="0" borderId="0"/>
    <xf numFmtId="0" fontId="5" fillId="0" borderId="0"/>
    <xf numFmtId="0" fontId="118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19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>
      <alignment vertical="center"/>
    </xf>
    <xf numFmtId="0" fontId="5" fillId="0" borderId="0"/>
    <xf numFmtId="0" fontId="5" fillId="0" borderId="0"/>
    <xf numFmtId="0" fontId="20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>
      <alignment vertical="center"/>
    </xf>
    <xf numFmtId="0" fontId="5" fillId="0" borderId="0"/>
    <xf numFmtId="0" fontId="5" fillId="0" borderId="0"/>
    <xf numFmtId="0" fontId="20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>
      <alignment vertical="center"/>
    </xf>
    <xf numFmtId="0" fontId="5" fillId="0" borderId="0"/>
    <xf numFmtId="0" fontId="5" fillId="0" borderId="0"/>
    <xf numFmtId="0" fontId="20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>
      <alignment vertical="center"/>
    </xf>
    <xf numFmtId="0" fontId="5" fillId="0" borderId="0"/>
    <xf numFmtId="0" fontId="5" fillId="0" borderId="0"/>
    <xf numFmtId="0" fontId="20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>
      <alignment vertical="center"/>
    </xf>
    <xf numFmtId="0" fontId="5" fillId="0" borderId="0"/>
    <xf numFmtId="0" fontId="5" fillId="0" borderId="0"/>
    <xf numFmtId="0" fontId="20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>
      <alignment vertical="center"/>
    </xf>
    <xf numFmtId="0" fontId="3" fillId="0" borderId="0"/>
    <xf numFmtId="0" fontId="5" fillId="0" borderId="0"/>
    <xf numFmtId="0" fontId="2" fillId="0" borderId="0"/>
    <xf numFmtId="0" fontId="63" fillId="0" borderId="0"/>
    <xf numFmtId="0" fontId="19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61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65" fillId="0" borderId="22"/>
    <xf numFmtId="0" fontId="87" fillId="0" borderId="22"/>
    <xf numFmtId="0" fontId="65" fillId="0" borderId="22"/>
    <xf numFmtId="0" fontId="87" fillId="0" borderId="22"/>
    <xf numFmtId="0" fontId="87" fillId="0" borderId="22"/>
    <xf numFmtId="0" fontId="87" fillId="0" borderId="22"/>
    <xf numFmtId="0" fontId="87" fillId="0" borderId="22"/>
    <xf numFmtId="0" fontId="87" fillId="0" borderId="22"/>
    <xf numFmtId="0" fontId="65" fillId="0" borderId="22"/>
    <xf numFmtId="0" fontId="65" fillId="0" borderId="22"/>
    <xf numFmtId="0" fontId="65" fillId="0" borderId="22"/>
    <xf numFmtId="0" fontId="65" fillId="0" borderId="22"/>
    <xf numFmtId="0" fontId="87" fillId="0" borderId="22"/>
    <xf numFmtId="0" fontId="87" fillId="0" borderId="22"/>
    <xf numFmtId="0" fontId="87" fillId="0" borderId="22"/>
    <xf numFmtId="0" fontId="87" fillId="0" borderId="22"/>
    <xf numFmtId="0" fontId="87" fillId="0" borderId="22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40" fontId="93" fillId="0" borderId="0" applyFont="0" applyFill="0" applyBorder="0" applyAlignment="0" applyProtection="0"/>
    <xf numFmtId="38" fontId="93" fillId="0" borderId="0" applyFont="0" applyFill="0" applyBorder="0" applyAlignment="0" applyProtection="0"/>
    <xf numFmtId="0" fontId="119" fillId="0" borderId="0" applyNumberFormat="0" applyFill="0" applyBorder="0" applyProtection="0">
      <alignment horizontal="left"/>
    </xf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7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228" fontId="96" fillId="0" borderId="0" applyFont="0" applyFill="0" applyBorder="0" applyAlignment="0" applyProtection="0"/>
    <xf numFmtId="229" fontId="96" fillId="0" borderId="0" applyFont="0" applyFill="0" applyBorder="0" applyAlignment="0" applyProtection="0"/>
    <xf numFmtId="14" fontId="96" fillId="0" borderId="0">
      <alignment horizontal="center" wrapText="1"/>
      <protection locked="0"/>
    </xf>
    <xf numFmtId="194" fontId="57" fillId="0" borderId="0" applyFont="0" applyFill="0" applyBorder="0" applyAlignment="0" applyProtection="0"/>
    <xf numFmtId="230" fontId="57" fillId="0" borderId="0" applyFont="0" applyFill="0" applyBorder="0" applyAlignment="0" applyProtection="0"/>
    <xf numFmtId="230" fontId="57" fillId="0" borderId="0" applyFont="0" applyFill="0" applyBorder="0" applyAlignment="0" applyProtection="0"/>
    <xf numFmtId="230" fontId="57" fillId="0" borderId="0" applyFont="0" applyFill="0" applyBorder="0" applyAlignment="0" applyProtection="0"/>
    <xf numFmtId="230" fontId="57" fillId="0" borderId="0" applyFont="0" applyFill="0" applyBorder="0" applyAlignment="0" applyProtection="0"/>
    <xf numFmtId="230" fontId="57" fillId="0" borderId="0" applyFont="0" applyFill="0" applyBorder="0" applyAlignment="0" applyProtection="0"/>
    <xf numFmtId="230" fontId="57" fillId="0" borderId="0" applyFont="0" applyFill="0" applyBorder="0" applyAlignment="0" applyProtection="0"/>
    <xf numFmtId="230" fontId="57" fillId="0" borderId="0" applyFont="0" applyFill="0" applyBorder="0" applyAlignment="0" applyProtection="0"/>
    <xf numFmtId="230" fontId="57" fillId="0" borderId="0" applyFont="0" applyFill="0" applyBorder="0" applyAlignment="0" applyProtection="0"/>
    <xf numFmtId="230" fontId="57" fillId="0" borderId="0" applyFont="0" applyFill="0" applyBorder="0" applyAlignment="0" applyProtection="0"/>
    <xf numFmtId="196" fontId="19" fillId="0" borderId="0" applyFont="0" applyFill="0" applyBorder="0" applyAlignment="0" applyProtection="0"/>
    <xf numFmtId="231" fontId="19" fillId="0" borderId="0" applyFont="0" applyFill="0" applyBorder="0" applyAlignment="0" applyProtection="0"/>
    <xf numFmtId="231" fontId="19" fillId="0" borderId="0" applyFont="0" applyFill="0" applyBorder="0" applyAlignment="0" applyProtection="0"/>
    <xf numFmtId="231" fontId="19" fillId="0" borderId="0" applyFont="0" applyFill="0" applyBorder="0" applyAlignment="0" applyProtection="0"/>
    <xf numFmtId="231" fontId="19" fillId="0" borderId="0" applyFont="0" applyFill="0" applyBorder="0" applyAlignment="0" applyProtection="0"/>
    <xf numFmtId="231" fontId="19" fillId="0" borderId="0" applyFont="0" applyFill="0" applyBorder="0" applyAlignment="0" applyProtection="0"/>
    <xf numFmtId="231" fontId="19" fillId="0" borderId="0" applyFont="0" applyFill="0" applyBorder="0" applyAlignment="0" applyProtection="0"/>
    <xf numFmtId="231" fontId="19" fillId="0" borderId="0" applyFont="0" applyFill="0" applyBorder="0" applyAlignment="0" applyProtection="0"/>
    <xf numFmtId="231" fontId="19" fillId="0" borderId="0" applyFont="0" applyFill="0" applyBorder="0" applyAlignment="0" applyProtection="0"/>
    <xf numFmtId="231" fontId="19" fillId="0" borderId="0" applyFont="0" applyFill="0" applyBorder="0" applyAlignment="0" applyProtection="0"/>
    <xf numFmtId="231" fontId="19" fillId="0" borderId="0" applyFont="0" applyFill="0" applyBorder="0" applyAlignment="0" applyProtection="0"/>
    <xf numFmtId="231" fontId="19" fillId="0" borderId="0" applyFont="0" applyFill="0" applyBorder="0" applyAlignment="0" applyProtection="0"/>
    <xf numFmtId="231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232" fontId="96" fillId="0" borderId="0" applyFont="0" applyFill="0" applyBorder="0" applyAlignment="0" applyProtection="0"/>
    <xf numFmtId="219" fontId="96" fillId="0" borderId="0" applyFont="0" applyFill="0" applyBorder="0" applyAlignment="0" applyProtection="0"/>
    <xf numFmtId="9" fontId="61" fillId="0" borderId="0" applyFont="0" applyFill="0" applyBorder="0" applyAlignment="0" applyProtection="0"/>
    <xf numFmtId="10" fontId="61" fillId="0" borderId="0" applyFont="0" applyFill="0" applyBorder="0" applyAlignment="0" applyProtection="0"/>
    <xf numFmtId="9" fontId="61" fillId="0" borderId="23" applyNumberFormat="0" applyBorder="0"/>
    <xf numFmtId="0" fontId="101" fillId="0" borderId="24" applyBorder="0">
      <alignment horizontal="right"/>
    </xf>
    <xf numFmtId="197" fontId="66" fillId="0" borderId="22"/>
    <xf numFmtId="197" fontId="88" fillId="0" borderId="22"/>
    <xf numFmtId="197" fontId="66" fillId="0" borderId="22"/>
    <xf numFmtId="197" fontId="88" fillId="0" borderId="22"/>
    <xf numFmtId="197" fontId="88" fillId="0" borderId="22"/>
    <xf numFmtId="197" fontId="88" fillId="0" borderId="22"/>
    <xf numFmtId="197" fontId="88" fillId="0" borderId="22"/>
    <xf numFmtId="197" fontId="88" fillId="0" borderId="22"/>
    <xf numFmtId="197" fontId="66" fillId="0" borderId="22"/>
    <xf numFmtId="197" fontId="66" fillId="0" borderId="22"/>
    <xf numFmtId="197" fontId="66" fillId="0" borderId="22"/>
    <xf numFmtId="197" fontId="66" fillId="0" borderId="22"/>
    <xf numFmtId="197" fontId="88" fillId="0" borderId="22"/>
    <xf numFmtId="197" fontId="88" fillId="0" borderId="22"/>
    <xf numFmtId="197" fontId="88" fillId="0" borderId="22"/>
    <xf numFmtId="197" fontId="88" fillId="0" borderId="22"/>
    <xf numFmtId="197" fontId="88" fillId="0" borderId="22"/>
    <xf numFmtId="0" fontId="120" fillId="0" borderId="0" applyNumberFormat="0" applyFill="0" applyBorder="0" applyProtection="0">
      <alignment horizontal="right"/>
    </xf>
    <xf numFmtId="187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185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187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218" fontId="19" fillId="0" borderId="0" applyFill="0" applyBorder="0" applyAlignment="0"/>
    <xf numFmtId="190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224" fontId="57" fillId="0" borderId="0" applyFill="0" applyBorder="0" applyAlignment="0"/>
    <xf numFmtId="185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217" fontId="57" fillId="0" borderId="0" applyFill="0" applyBorder="0" applyAlignment="0"/>
    <xf numFmtId="4" fontId="121" fillId="0" borderId="0" applyFont="0" applyFill="0" applyBorder="0" applyProtection="0">
      <alignment horizontal="right"/>
    </xf>
    <xf numFmtId="0" fontId="61" fillId="0" borderId="0" applyNumberFormat="0" applyFont="0" applyFill="0" applyBorder="0" applyAlignment="0" applyProtection="0">
      <alignment horizontal="left"/>
    </xf>
    <xf numFmtId="0" fontId="61" fillId="0" borderId="0" applyNumberFormat="0" applyFont="0" applyFill="0" applyBorder="0" applyAlignment="0" applyProtection="0">
      <alignment horizontal="left"/>
    </xf>
    <xf numFmtId="0" fontId="61" fillId="0" borderId="0" applyNumberFormat="0" applyFont="0" applyFill="0" applyBorder="0" applyAlignment="0" applyProtection="0">
      <alignment horizontal="left"/>
    </xf>
    <xf numFmtId="0" fontId="61" fillId="0" borderId="0" applyNumberFormat="0" applyFont="0" applyFill="0" applyBorder="0" applyAlignment="0" applyProtection="0">
      <alignment horizontal="left"/>
    </xf>
    <xf numFmtId="0" fontId="61" fillId="0" borderId="0" applyNumberFormat="0" applyFont="0" applyFill="0" applyBorder="0" applyAlignment="0" applyProtection="0">
      <alignment horizontal="left"/>
    </xf>
    <xf numFmtId="0" fontId="61" fillId="0" borderId="0" applyNumberFormat="0" applyFont="0" applyFill="0" applyBorder="0" applyAlignment="0" applyProtection="0">
      <alignment horizontal="left"/>
    </xf>
    <xf numFmtId="0" fontId="61" fillId="0" borderId="0" applyNumberFormat="0" applyFont="0" applyFill="0" applyBorder="0" applyAlignment="0" applyProtection="0">
      <alignment horizontal="left"/>
    </xf>
    <xf numFmtId="0" fontId="61" fillId="0" borderId="0" applyNumberFormat="0" applyFont="0" applyFill="0" applyBorder="0" applyAlignment="0" applyProtection="0">
      <alignment horizontal="left"/>
    </xf>
    <xf numFmtId="0" fontId="61" fillId="0" borderId="0" applyNumberFormat="0" applyFont="0" applyFill="0" applyBorder="0" applyAlignment="0" applyProtection="0">
      <alignment horizontal="left"/>
    </xf>
    <xf numFmtId="15" fontId="61" fillId="0" borderId="0" applyFont="0" applyFill="0" applyBorder="0" applyAlignment="0" applyProtection="0"/>
    <xf numFmtId="15" fontId="61" fillId="0" borderId="0" applyFont="0" applyFill="0" applyBorder="0" applyAlignment="0" applyProtection="0"/>
    <xf numFmtId="15" fontId="61" fillId="0" borderId="0" applyFont="0" applyFill="0" applyBorder="0" applyAlignment="0" applyProtection="0"/>
    <xf numFmtId="15" fontId="61" fillId="0" borderId="0" applyFont="0" applyFill="0" applyBorder="0" applyAlignment="0" applyProtection="0"/>
    <xf numFmtId="15" fontId="61" fillId="0" borderId="0" applyFont="0" applyFill="0" applyBorder="0" applyAlignment="0" applyProtection="0"/>
    <xf numFmtId="15" fontId="61" fillId="0" borderId="0" applyFont="0" applyFill="0" applyBorder="0" applyAlignment="0" applyProtection="0"/>
    <xf numFmtId="15" fontId="61" fillId="0" borderId="0" applyFont="0" applyFill="0" applyBorder="0" applyAlignment="0" applyProtection="0"/>
    <xf numFmtId="15" fontId="61" fillId="0" borderId="0" applyFont="0" applyFill="0" applyBorder="0" applyAlignment="0" applyProtection="0"/>
    <xf numFmtId="15" fontId="61" fillId="0" borderId="0" applyFont="0" applyFill="0" applyBorder="0" applyAlignment="0" applyProtection="0"/>
    <xf numFmtId="4" fontId="61" fillId="0" borderId="0" applyFont="0" applyFill="0" applyBorder="0" applyAlignment="0" applyProtection="0"/>
    <xf numFmtId="4" fontId="61" fillId="0" borderId="0" applyFont="0" applyFill="0" applyBorder="0" applyAlignment="0" applyProtection="0"/>
    <xf numFmtId="4" fontId="61" fillId="0" borderId="0" applyFont="0" applyFill="0" applyBorder="0" applyAlignment="0" applyProtection="0"/>
    <xf numFmtId="4" fontId="61" fillId="0" borderId="0" applyFont="0" applyFill="0" applyBorder="0" applyAlignment="0" applyProtection="0"/>
    <xf numFmtId="4" fontId="61" fillId="0" borderId="0" applyFont="0" applyFill="0" applyBorder="0" applyAlignment="0" applyProtection="0"/>
    <xf numFmtId="4" fontId="61" fillId="0" borderId="0" applyFont="0" applyFill="0" applyBorder="0" applyAlignment="0" applyProtection="0"/>
    <xf numFmtId="4" fontId="61" fillId="0" borderId="0" applyFont="0" applyFill="0" applyBorder="0" applyAlignment="0" applyProtection="0"/>
    <xf numFmtId="4" fontId="61" fillId="0" borderId="0" applyFont="0" applyFill="0" applyBorder="0" applyAlignment="0" applyProtection="0"/>
    <xf numFmtId="4" fontId="61" fillId="0" borderId="0" applyFont="0" applyFill="0" applyBorder="0" applyAlignment="0" applyProtection="0"/>
    <xf numFmtId="0" fontId="67" fillId="0" borderId="18">
      <alignment horizontal="center"/>
    </xf>
    <xf numFmtId="0" fontId="67" fillId="0" borderId="18">
      <alignment horizontal="center"/>
    </xf>
    <xf numFmtId="0" fontId="67" fillId="0" borderId="18">
      <alignment horizontal="center"/>
    </xf>
    <xf numFmtId="0" fontId="67" fillId="0" borderId="18">
      <alignment horizontal="center"/>
    </xf>
    <xf numFmtId="0" fontId="67" fillId="0" borderId="18">
      <alignment horizontal="center"/>
    </xf>
    <xf numFmtId="0" fontId="67" fillId="0" borderId="18">
      <alignment horizontal="center"/>
    </xf>
    <xf numFmtId="0" fontId="67" fillId="0" borderId="18">
      <alignment horizontal="center"/>
    </xf>
    <xf numFmtId="0" fontId="67" fillId="0" borderId="18">
      <alignment horizontal="center"/>
    </xf>
    <xf numFmtId="0" fontId="67" fillId="0" borderId="18">
      <alignment horizontal="center"/>
    </xf>
    <xf numFmtId="0" fontId="67" fillId="0" borderId="18">
      <alignment horizontal="center"/>
    </xf>
    <xf numFmtId="3" fontId="61" fillId="0" borderId="0" applyFont="0" applyFill="0" applyBorder="0" applyAlignment="0" applyProtection="0"/>
    <xf numFmtId="3" fontId="61" fillId="0" borderId="0" applyFont="0" applyFill="0" applyBorder="0" applyAlignment="0" applyProtection="0"/>
    <xf numFmtId="3" fontId="61" fillId="0" borderId="0" applyFont="0" applyFill="0" applyBorder="0" applyAlignment="0" applyProtection="0"/>
    <xf numFmtId="3" fontId="61" fillId="0" borderId="0" applyFont="0" applyFill="0" applyBorder="0" applyAlignment="0" applyProtection="0"/>
    <xf numFmtId="3" fontId="61" fillId="0" borderId="0" applyFont="0" applyFill="0" applyBorder="0" applyAlignment="0" applyProtection="0"/>
    <xf numFmtId="3" fontId="61" fillId="0" borderId="0" applyFont="0" applyFill="0" applyBorder="0" applyAlignment="0" applyProtection="0"/>
    <xf numFmtId="3" fontId="61" fillId="0" borderId="0" applyFont="0" applyFill="0" applyBorder="0" applyAlignment="0" applyProtection="0"/>
    <xf numFmtId="3" fontId="61" fillId="0" borderId="0" applyFont="0" applyFill="0" applyBorder="0" applyAlignment="0" applyProtection="0"/>
    <xf numFmtId="3" fontId="61" fillId="0" borderId="0" applyFont="0" applyFill="0" applyBorder="0" applyAlignment="0" applyProtection="0"/>
    <xf numFmtId="0" fontId="61" fillId="34" borderId="0" applyNumberFormat="0" applyFont="0" applyBorder="0" applyAlignment="0" applyProtection="0"/>
    <xf numFmtId="0" fontId="61" fillId="34" borderId="0" applyNumberFormat="0" applyFont="0" applyBorder="0" applyAlignment="0" applyProtection="0"/>
    <xf numFmtId="0" fontId="61" fillId="34" borderId="0" applyNumberFormat="0" applyFont="0" applyBorder="0" applyAlignment="0" applyProtection="0"/>
    <xf numFmtId="0" fontId="61" fillId="34" borderId="0" applyNumberFormat="0" applyFont="0" applyBorder="0" applyAlignment="0" applyProtection="0"/>
    <xf numFmtId="0" fontId="61" fillId="34" borderId="0" applyNumberFormat="0" applyFont="0" applyBorder="0" applyAlignment="0" applyProtection="0"/>
    <xf numFmtId="0" fontId="61" fillId="34" borderId="0" applyNumberFormat="0" applyFont="0" applyBorder="0" applyAlignment="0" applyProtection="0"/>
    <xf numFmtId="0" fontId="61" fillId="34" borderId="0" applyNumberFormat="0" applyFont="0" applyBorder="0" applyAlignment="0" applyProtection="0"/>
    <xf numFmtId="0" fontId="61" fillId="34" borderId="0" applyNumberFormat="0" applyFont="0" applyBorder="0" applyAlignment="0" applyProtection="0"/>
    <xf numFmtId="0" fontId="61" fillId="34" borderId="0" applyNumberFormat="0" applyFont="0" applyBorder="0" applyAlignment="0" applyProtection="0"/>
    <xf numFmtId="0" fontId="19" fillId="0" borderId="19" applyNumberFormat="0" applyFont="0" applyFill="0" applyAlignment="0" applyProtection="0"/>
    <xf numFmtId="0" fontId="19" fillId="0" borderId="4" applyNumberFormat="0" applyFont="0" applyFill="0" applyAlignment="0" applyProtection="0"/>
    <xf numFmtId="0" fontId="19" fillId="0" borderId="25" applyNumberFormat="0" applyFont="0" applyFill="0" applyAlignment="0" applyProtection="0"/>
    <xf numFmtId="0" fontId="19" fillId="0" borderId="26" applyNumberFormat="0" applyFont="0" applyFill="0" applyAlignment="0" applyProtection="0"/>
    <xf numFmtId="0" fontId="19" fillId="0" borderId="5" applyNumberFormat="0" applyFont="0" applyFill="0" applyAlignment="0" applyProtection="0"/>
    <xf numFmtId="0" fontId="21" fillId="26" borderId="6" applyNumberFormat="0" applyAlignment="0" applyProtection="0"/>
    <xf numFmtId="4" fontId="68" fillId="14" borderId="27" applyNumberFormat="0" applyProtection="0">
      <alignment vertical="center"/>
    </xf>
    <xf numFmtId="4" fontId="69" fillId="35" borderId="27" applyNumberFormat="0" applyProtection="0">
      <alignment vertical="center"/>
    </xf>
    <xf numFmtId="4" fontId="68" fillId="35" borderId="27" applyNumberFormat="0" applyProtection="0">
      <alignment horizontal="left" vertical="center" indent="1"/>
    </xf>
    <xf numFmtId="0" fontId="68" fillId="35" borderId="27" applyNumberFormat="0" applyProtection="0">
      <alignment horizontal="left" vertical="top" indent="1"/>
    </xf>
    <xf numFmtId="4" fontId="68" fillId="36" borderId="0" applyNumberFormat="0" applyProtection="0">
      <alignment horizontal="left" vertical="center"/>
    </xf>
    <xf numFmtId="4" fontId="62" fillId="6" borderId="27" applyNumberFormat="0" applyProtection="0">
      <alignment horizontal="right" vertical="center"/>
    </xf>
    <xf numFmtId="4" fontId="62" fillId="7" borderId="27" applyNumberFormat="0" applyProtection="0">
      <alignment horizontal="right" vertical="center"/>
    </xf>
    <xf numFmtId="4" fontId="62" fillId="23" borderId="27" applyNumberFormat="0" applyProtection="0">
      <alignment horizontal="right" vertical="center"/>
    </xf>
    <xf numFmtId="4" fontId="62" fillId="15" borderId="27" applyNumberFormat="0" applyProtection="0">
      <alignment horizontal="right" vertical="center"/>
    </xf>
    <xf numFmtId="4" fontId="62" fillId="20" borderId="27" applyNumberFormat="0" applyProtection="0">
      <alignment horizontal="right" vertical="center"/>
    </xf>
    <xf numFmtId="4" fontId="62" fillId="17" borderId="27" applyNumberFormat="0" applyProtection="0">
      <alignment horizontal="right" vertical="center"/>
    </xf>
    <xf numFmtId="4" fontId="62" fillId="24" borderId="27" applyNumberFormat="0" applyProtection="0">
      <alignment horizontal="right" vertical="center"/>
    </xf>
    <xf numFmtId="4" fontId="62" fillId="37" borderId="27" applyNumberFormat="0" applyProtection="0">
      <alignment horizontal="right" vertical="center"/>
    </xf>
    <xf numFmtId="4" fontId="62" fillId="13" borderId="27" applyNumberFormat="0" applyProtection="0">
      <alignment horizontal="right" vertical="center"/>
    </xf>
    <xf numFmtId="4" fontId="68" fillId="38" borderId="27" applyNumberFormat="0" applyProtection="0">
      <alignment vertical="center"/>
    </xf>
    <xf numFmtId="4" fontId="62" fillId="39" borderId="27" applyNumberFormat="0" applyProtection="0">
      <alignment vertical="center"/>
    </xf>
    <xf numFmtId="4" fontId="70" fillId="40" borderId="0" applyNumberFormat="0" applyProtection="0">
      <alignment horizontal="left" vertical="center" indent="1"/>
    </xf>
    <xf numFmtId="4" fontId="62" fillId="41" borderId="27" applyNumberFormat="0" applyProtection="0">
      <alignment horizontal="right" vertical="center"/>
    </xf>
    <xf numFmtId="4" fontId="62" fillId="39" borderId="0" applyNumberFormat="0" applyProtection="0">
      <alignment vertical="center"/>
    </xf>
    <xf numFmtId="4" fontId="71" fillId="36" borderId="0" applyNumberFormat="0" applyProtection="0">
      <alignment vertical="center"/>
    </xf>
    <xf numFmtId="0" fontId="19" fillId="40" borderId="27" applyNumberFormat="0" applyProtection="0">
      <alignment horizontal="left" vertical="center" indent="1"/>
    </xf>
    <xf numFmtId="0" fontId="19" fillId="40" borderId="27" applyNumberFormat="0" applyProtection="0">
      <alignment horizontal="left" vertical="top" indent="1"/>
    </xf>
    <xf numFmtId="0" fontId="19" fillId="36" borderId="27" applyNumberFormat="0" applyProtection="0">
      <alignment horizontal="left" vertical="center" indent="1"/>
    </xf>
    <xf numFmtId="0" fontId="19" fillId="36" borderId="27" applyNumberFormat="0" applyProtection="0">
      <alignment horizontal="left" vertical="top" indent="1"/>
    </xf>
    <xf numFmtId="0" fontId="19" fillId="42" borderId="27" applyNumberFormat="0" applyProtection="0">
      <alignment horizontal="left" vertical="center" indent="1"/>
    </xf>
    <xf numFmtId="0" fontId="19" fillId="42" borderId="27" applyNumberFormat="0" applyProtection="0">
      <alignment horizontal="left" vertical="top" indent="1"/>
    </xf>
    <xf numFmtId="0" fontId="19" fillId="39" borderId="27" applyNumberFormat="0" applyProtection="0">
      <alignment horizontal="left" vertical="center" indent="1"/>
    </xf>
    <xf numFmtId="0" fontId="19" fillId="39" borderId="27" applyNumberFormat="0" applyProtection="0">
      <alignment horizontal="left" vertical="top" indent="1"/>
    </xf>
    <xf numFmtId="4" fontId="62" fillId="3" borderId="27" applyNumberFormat="0" applyProtection="0">
      <alignment vertical="center"/>
    </xf>
    <xf numFmtId="4" fontId="72" fillId="3" borderId="27" applyNumberFormat="0" applyProtection="0">
      <alignment vertical="center"/>
    </xf>
    <xf numFmtId="4" fontId="62" fillId="3" borderId="27" applyNumberFormat="0" applyProtection="0">
      <alignment horizontal="left" vertical="center" indent="1"/>
    </xf>
    <xf numFmtId="0" fontId="62" fillId="3" borderId="27" applyNumberFormat="0" applyProtection="0">
      <alignment horizontal="left" vertical="top" indent="1"/>
    </xf>
    <xf numFmtId="4" fontId="62" fillId="43" borderId="27" applyNumberFormat="0" applyProtection="0">
      <alignment horizontal="right" vertical="center"/>
    </xf>
    <xf numFmtId="4" fontId="72" fillId="43" borderId="27" applyNumberFormat="0" applyProtection="0">
      <alignment horizontal="right" vertical="center"/>
    </xf>
    <xf numFmtId="4" fontId="62" fillId="30" borderId="27" applyNumberFormat="0" applyProtection="0">
      <alignment horizontal="left" vertical="center" indent="1"/>
    </xf>
    <xf numFmtId="0" fontId="62" fillId="36" borderId="27" applyNumberFormat="0" applyProtection="0">
      <alignment horizontal="left" vertical="top" indent="1"/>
    </xf>
    <xf numFmtId="4" fontId="73" fillId="44" borderId="0" applyNumberFormat="0" applyProtection="0">
      <alignment horizontal="left" vertical="center"/>
    </xf>
    <xf numFmtId="4" fontId="74" fillId="43" borderId="27" applyNumberFormat="0" applyProtection="0">
      <alignment horizontal="right" vertical="center"/>
    </xf>
    <xf numFmtId="0" fontId="19" fillId="9" borderId="0" applyNumberFormat="0" applyFont="0" applyBorder="0" applyAlignment="0" applyProtection="0"/>
    <xf numFmtId="0" fontId="19" fillId="27" borderId="0" applyNumberFormat="0" applyFont="0" applyBorder="0" applyAlignment="0" applyProtection="0"/>
    <xf numFmtId="0" fontId="19" fillId="26" borderId="0" applyNumberFormat="0" applyFont="0" applyBorder="0" applyAlignment="0" applyProtection="0"/>
    <xf numFmtId="0" fontId="19" fillId="0" borderId="0" applyNumberFormat="0" applyFont="0" applyFill="0" applyBorder="0" applyAlignment="0" applyProtection="0"/>
    <xf numFmtId="0" fontId="19" fillId="26" borderId="0" applyNumberFormat="0" applyFont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Border="0" applyAlignment="0" applyProtection="0"/>
    <xf numFmtId="0" fontId="7" fillId="6" borderId="0" applyNumberFormat="0" applyBorder="0" applyAlignment="0" applyProtection="0"/>
    <xf numFmtId="0" fontId="19" fillId="1" borderId="19" applyNumberFormat="0" applyFont="0" applyBorder="0" applyAlignment="0" applyProtection="0"/>
    <xf numFmtId="0" fontId="75" fillId="0" borderId="0"/>
    <xf numFmtId="0" fontId="89" fillId="0" borderId="0"/>
    <xf numFmtId="0" fontId="75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76" fillId="45" borderId="0"/>
    <xf numFmtId="0" fontId="77" fillId="45" borderId="0"/>
    <xf numFmtId="0" fontId="78" fillId="45" borderId="28"/>
    <xf numFmtId="0" fontId="78" fillId="45" borderId="0"/>
    <xf numFmtId="0" fontId="76" fillId="29" borderId="28">
      <protection locked="0"/>
    </xf>
    <xf numFmtId="0" fontId="76" fillId="45" borderId="0"/>
    <xf numFmtId="0" fontId="79" fillId="46" borderId="0"/>
    <xf numFmtId="0" fontId="79" fillId="47" borderId="0"/>
    <xf numFmtId="0" fontId="79" fillId="48" borderId="0"/>
    <xf numFmtId="233" fontId="105" fillId="0" borderId="0" applyFont="0" applyFill="0" applyBorder="0" applyAlignment="0" applyProtection="0"/>
    <xf numFmtId="171" fontId="105" fillId="0" borderId="0" applyFont="0" applyFill="0" applyBorder="0" applyAlignment="0" applyProtection="0"/>
    <xf numFmtId="0" fontId="122" fillId="49" borderId="29"/>
    <xf numFmtId="0" fontId="27" fillId="0" borderId="0"/>
    <xf numFmtId="0" fontId="27" fillId="0" borderId="0"/>
    <xf numFmtId="194" fontId="61" fillId="0" borderId="0">
      <alignment horizontal="center"/>
    </xf>
    <xf numFmtId="230" fontId="57" fillId="0" borderId="0">
      <alignment horizontal="center"/>
    </xf>
    <xf numFmtId="230" fontId="57" fillId="0" borderId="0">
      <alignment horizontal="center"/>
    </xf>
    <xf numFmtId="230" fontId="57" fillId="0" borderId="0">
      <alignment horizontal="center"/>
    </xf>
    <xf numFmtId="230" fontId="57" fillId="0" borderId="0">
      <alignment horizontal="center"/>
    </xf>
    <xf numFmtId="230" fontId="57" fillId="0" borderId="0">
      <alignment horizontal="center"/>
    </xf>
    <xf numFmtId="230" fontId="57" fillId="0" borderId="0">
      <alignment horizontal="center"/>
    </xf>
    <xf numFmtId="230" fontId="57" fillId="0" borderId="0">
      <alignment horizontal="center"/>
    </xf>
    <xf numFmtId="230" fontId="57" fillId="0" borderId="0">
      <alignment horizontal="center"/>
    </xf>
    <xf numFmtId="230" fontId="57" fillId="0" borderId="0">
      <alignment horizontal="center"/>
    </xf>
    <xf numFmtId="230" fontId="57" fillId="0" borderId="0">
      <alignment horizontal="center"/>
    </xf>
    <xf numFmtId="0" fontId="80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92" fillId="0" borderId="0"/>
    <xf numFmtId="0" fontId="19" fillId="0" borderId="0"/>
    <xf numFmtId="0" fontId="19" fillId="0" borderId="0"/>
    <xf numFmtId="0" fontId="115" fillId="0" borderId="0"/>
    <xf numFmtId="0" fontId="19" fillId="0" borderId="0" applyFill="0" applyBorder="0"/>
    <xf numFmtId="0" fontId="101" fillId="0" borderId="0">
      <alignment horizontal="left"/>
    </xf>
    <xf numFmtId="49" fontId="62" fillId="0" borderId="0" applyFill="0" applyBorder="0" applyAlignment="0"/>
    <xf numFmtId="198" fontId="57" fillId="0" borderId="0" applyFill="0" applyBorder="0" applyAlignment="0"/>
    <xf numFmtId="234" fontId="57" fillId="0" borderId="0" applyFill="0" applyBorder="0" applyAlignment="0"/>
    <xf numFmtId="234" fontId="57" fillId="0" borderId="0" applyFill="0" applyBorder="0" applyAlignment="0"/>
    <xf numFmtId="234" fontId="57" fillId="0" borderId="0" applyFill="0" applyBorder="0" applyAlignment="0"/>
    <xf numFmtId="234" fontId="57" fillId="0" borderId="0" applyFill="0" applyBorder="0" applyAlignment="0"/>
    <xf numFmtId="234" fontId="57" fillId="0" borderId="0" applyFill="0" applyBorder="0" applyAlignment="0"/>
    <xf numFmtId="234" fontId="57" fillId="0" borderId="0" applyFill="0" applyBorder="0" applyAlignment="0"/>
    <xf numFmtId="234" fontId="57" fillId="0" borderId="0" applyFill="0" applyBorder="0" applyAlignment="0"/>
    <xf numFmtId="234" fontId="57" fillId="0" borderId="0" applyFill="0" applyBorder="0" applyAlignment="0"/>
    <xf numFmtId="234" fontId="57" fillId="0" borderId="0" applyFill="0" applyBorder="0" applyAlignment="0"/>
    <xf numFmtId="234" fontId="57" fillId="0" borderId="0" applyFill="0" applyBorder="0" applyAlignment="0"/>
    <xf numFmtId="198" fontId="19" fillId="0" borderId="0" applyFill="0" applyBorder="0" applyAlignment="0"/>
    <xf numFmtId="234" fontId="57" fillId="0" borderId="0" applyFill="0" applyBorder="0" applyAlignment="0"/>
    <xf numFmtId="234" fontId="57" fillId="0" borderId="0" applyFill="0" applyBorder="0" applyAlignment="0"/>
    <xf numFmtId="234" fontId="57" fillId="0" borderId="0" applyFill="0" applyBorder="0" applyAlignment="0"/>
    <xf numFmtId="234" fontId="57" fillId="0" borderId="0" applyFill="0" applyBorder="0" applyAlignment="0"/>
    <xf numFmtId="234" fontId="57" fillId="0" borderId="0" applyFill="0" applyBorder="0" applyAlignment="0"/>
    <xf numFmtId="234" fontId="57" fillId="0" borderId="0" applyFill="0" applyBorder="0" applyAlignment="0"/>
    <xf numFmtId="234" fontId="57" fillId="0" borderId="0" applyFill="0" applyBorder="0" applyAlignment="0"/>
    <xf numFmtId="234" fontId="57" fillId="0" borderId="0" applyFill="0" applyBorder="0" applyAlignment="0"/>
    <xf numFmtId="234" fontId="57" fillId="0" borderId="0" applyFill="0" applyBorder="0" applyAlignment="0"/>
    <xf numFmtId="234" fontId="57" fillId="0" borderId="0" applyFill="0" applyBorder="0" applyAlignment="0"/>
    <xf numFmtId="0" fontId="25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19" fillId="0" borderId="30" applyNumberFormat="0" applyFon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38" fontId="61" fillId="0" borderId="0" applyFont="0" applyFill="0" applyBorder="0" applyAlignment="0" applyProtection="0"/>
    <xf numFmtId="40" fontId="61" fillId="0" borderId="0" applyFont="0" applyFill="0" applyBorder="0" applyAlignment="0" applyProtection="0"/>
    <xf numFmtId="0" fontId="90" fillId="0" borderId="0" applyNumberFormat="0" applyFill="0" applyBorder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235" fontId="19" fillId="0" borderId="0" applyFont="0" applyFill="0" applyBorder="0" applyAlignment="0" applyProtection="0"/>
    <xf numFmtId="199" fontId="6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2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24" fillId="0" borderId="0" applyNumberFormat="0" applyFill="0" applyBorder="0" applyProtection="0">
      <alignment horizontal="right"/>
    </xf>
    <xf numFmtId="236" fontId="19" fillId="0" borderId="0" applyFont="0" applyFill="0" applyBorder="0" applyAlignment="0" applyProtection="0"/>
    <xf numFmtId="202" fontId="10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6" fillId="0" borderId="0">
      <alignment horizontal="left"/>
    </xf>
    <xf numFmtId="237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28" borderId="8" applyNumberFormat="0" applyAlignment="0" applyProtection="0"/>
    <xf numFmtId="222" fontId="125" fillId="0" borderId="0" applyFont="0" applyFill="0" applyBorder="0" applyAlignment="0" applyProtection="0"/>
    <xf numFmtId="0" fontId="81" fillId="0" borderId="31"/>
    <xf numFmtId="200" fontId="19" fillId="0" borderId="0" applyFont="0" applyFill="0" applyBorder="0" applyAlignment="0" applyProtection="0"/>
    <xf numFmtId="201" fontId="19" fillId="0" borderId="0" applyFont="0" applyFill="0" applyBorder="0" applyAlignment="0" applyProtection="0"/>
    <xf numFmtId="0" fontId="19" fillId="0" borderId="0"/>
    <xf numFmtId="0" fontId="26" fillId="0" borderId="0"/>
    <xf numFmtId="0" fontId="126" fillId="0" borderId="0" applyNumberFormat="0" applyFill="0" applyBorder="0" applyAlignment="0" applyProtection="0"/>
    <xf numFmtId="0" fontId="11" fillId="8" borderId="0" applyNumberFormat="0" applyBorder="0" applyAlignment="0" applyProtection="0"/>
    <xf numFmtId="0" fontId="7" fillId="6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27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1" fillId="0" borderId="0"/>
    <xf numFmtId="0" fontId="130" fillId="0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5" fillId="13" borderId="0" applyNumberFormat="0" applyBorder="0" applyAlignment="0" applyProtection="0"/>
    <xf numFmtId="0" fontId="2" fillId="0" borderId="0">
      <alignment vertical="center"/>
    </xf>
    <xf numFmtId="0" fontId="3" fillId="0" borderId="0"/>
    <xf numFmtId="0" fontId="141" fillId="0" borderId="0"/>
    <xf numFmtId="0" fontId="2" fillId="0" borderId="0">
      <alignment vertical="center"/>
    </xf>
    <xf numFmtId="0" fontId="17" fillId="0" borderId="9" applyNumberFormat="0" applyFill="0" applyAlignment="0" applyProtection="0"/>
    <xf numFmtId="0" fontId="2" fillId="0" borderId="0">
      <alignment vertical="center"/>
    </xf>
    <xf numFmtId="0" fontId="12" fillId="0" borderId="14" applyNumberFormat="0" applyFill="0" applyAlignment="0" applyProtection="0"/>
    <xf numFmtId="0" fontId="16" fillId="11" borderId="7" applyNumberFormat="0" applyAlignment="0" applyProtection="0"/>
    <xf numFmtId="0" fontId="13" fillId="0" borderId="15" applyNumberFormat="0" applyFill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12" fillId="0" borderId="14" applyNumberFormat="0" applyFill="0" applyAlignment="0" applyProtection="0"/>
    <xf numFmtId="0" fontId="17" fillId="0" borderId="9" applyNumberFormat="0" applyFill="0" applyAlignment="0" applyProtection="0"/>
    <xf numFmtId="0" fontId="14" fillId="0" borderId="16" applyNumberFormat="0" applyFill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" fillId="0" borderId="0">
      <alignment vertical="center"/>
    </xf>
    <xf numFmtId="0" fontId="11" fillId="8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2" fillId="0" borderId="0">
      <alignment vertical="center"/>
    </xf>
    <xf numFmtId="0" fontId="14" fillId="0" borderId="0" applyNumberFormat="0" applyFill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12" fillId="0" borderId="14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1" fillId="8" borderId="0" applyNumberFormat="0" applyBorder="0" applyAlignment="0" applyProtection="0"/>
    <xf numFmtId="0" fontId="3" fillId="0" borderId="0"/>
    <xf numFmtId="0" fontId="14" fillId="0" borderId="16" applyNumberFormat="0" applyFill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6" fillId="11" borderId="7" applyNumberFormat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1" fillId="26" borderId="6" applyNumberFormat="0" applyAlignment="0" applyProtection="0"/>
    <xf numFmtId="0" fontId="14" fillId="0" borderId="0" applyNumberFormat="0" applyFill="0" applyBorder="0" applyAlignment="0" applyProtection="0"/>
    <xf numFmtId="0" fontId="5" fillId="9" borderId="21" applyNumberFormat="0" applyFont="0" applyAlignment="0" applyProtection="0"/>
    <xf numFmtId="0" fontId="8" fillId="26" borderId="7" applyNumberFormat="0" applyAlignment="0" applyProtection="0"/>
    <xf numFmtId="0" fontId="9" fillId="28" borderId="8" applyNumberFormat="0" applyAlignment="0" applyProtection="0"/>
    <xf numFmtId="0" fontId="7" fillId="6" borderId="0" applyNumberFormat="0" applyBorder="0" applyAlignment="0" applyProtection="0"/>
    <xf numFmtId="0" fontId="17" fillId="0" borderId="9" applyNumberFormat="0" applyFill="0" applyAlignment="0" applyProtection="0"/>
    <xf numFmtId="0" fontId="21" fillId="26" borderId="6" applyNumberFormat="0" applyAlignment="0" applyProtection="0"/>
    <xf numFmtId="0" fontId="12" fillId="0" borderId="14" applyNumberFormat="0" applyFill="0" applyAlignment="0" applyProtection="0"/>
    <xf numFmtId="0" fontId="17" fillId="0" borderId="9" applyNumberFormat="0" applyFill="0" applyAlignment="0" applyProtection="0"/>
    <xf numFmtId="0" fontId="5" fillId="9" borderId="21" applyNumberFormat="0" applyFont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18" fillId="14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1" borderId="0" applyNumberFormat="0" applyBorder="0" applyAlignment="0" applyProtection="0"/>
    <xf numFmtId="0" fontId="142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2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2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42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5" fillId="5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142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42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42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2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2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143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43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3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43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/>
    <xf numFmtId="0" fontId="16" fillId="11" borderId="7" applyNumberFormat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7" borderId="0" applyNumberFormat="0" applyBorder="0" applyAlignment="0" applyProtection="0"/>
    <xf numFmtId="0" fontId="144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6" fillId="11" borderId="7" applyNumberFormat="0" applyAlignment="0" applyProtection="0"/>
    <xf numFmtId="0" fontId="17" fillId="0" borderId="9" applyNumberFormat="0" applyFill="0" applyAlignment="0" applyProtection="0"/>
    <xf numFmtId="0" fontId="18" fillId="14" borderId="0" applyNumberFormat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144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7" fillId="6" borderId="0" applyNumberFormat="0" applyBorder="0" applyAlignment="0" applyProtection="0"/>
    <xf numFmtId="0" fontId="12" fillId="0" borderId="14" applyNumberFormat="0" applyFill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144" fillId="0" borderId="0"/>
    <xf numFmtId="0" fontId="10" fillId="0" borderId="0" applyNumberFormat="0" applyFill="0" applyBorder="0" applyAlignment="0" applyProtection="0"/>
    <xf numFmtId="0" fontId="8" fillId="26" borderId="7" applyNumberFormat="0" applyAlignment="0" applyProtection="0"/>
    <xf numFmtId="0" fontId="9" fillId="28" borderId="8" applyNumberFormat="0" applyAlignment="0" applyProtection="0"/>
    <xf numFmtId="0" fontId="11" fillId="8" borderId="0" applyNumberFormat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6" borderId="0" applyNumberFormat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1" fillId="8" borderId="0" applyNumberFormat="0" applyBorder="0" applyAlignment="0" applyProtection="0"/>
    <xf numFmtId="0" fontId="1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56" fillId="0" borderId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10" fillId="0" borderId="0" applyNumberFormat="0" applyFill="0" applyBorder="0" applyAlignment="0" applyProtection="0"/>
    <xf numFmtId="0" fontId="6" fillId="23" borderId="0" applyNumberFormat="0" applyBorder="0" applyAlignment="0" applyProtection="0"/>
    <xf numFmtId="0" fontId="11" fillId="8" borderId="0" applyNumberFormat="0" applyBorder="0" applyAlignment="0" applyProtection="0"/>
    <xf numFmtId="0" fontId="6" fillId="21" borderId="0" applyNumberFormat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2" fillId="0" borderId="0">
      <alignment vertical="center"/>
    </xf>
    <xf numFmtId="0" fontId="16" fillId="11" borderId="7" applyNumberFormat="0" applyAlignment="0" applyProtection="0"/>
    <xf numFmtId="0" fontId="17" fillId="0" borderId="9" applyNumberFormat="0" applyFill="0" applyAlignment="0" applyProtection="0"/>
    <xf numFmtId="0" fontId="12" fillId="0" borderId="14" applyNumberFormat="0" applyFill="0" applyAlignment="0" applyProtection="0"/>
    <xf numFmtId="0" fontId="5" fillId="9" borderId="21" applyNumberFormat="0" applyFont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0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21" fillId="26" borderId="6" applyNumberFormat="0" applyAlignment="0" applyProtection="0"/>
    <xf numFmtId="0" fontId="11" fillId="8" borderId="0" applyNumberFormat="0" applyBorder="0" applyAlignment="0" applyProtection="0"/>
    <xf numFmtId="0" fontId="17" fillId="0" borderId="9" applyNumberFormat="0" applyFill="0" applyAlignment="0" applyProtection="0"/>
    <xf numFmtId="0" fontId="18" fillId="14" borderId="0" applyNumberFormat="0" applyBorder="0" applyAlignment="0" applyProtection="0"/>
    <xf numFmtId="0" fontId="16" fillId="11" borderId="7" applyNumberFormat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18" fillId="14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11" borderId="7" applyNumberFormat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5" fillId="9" borderId="21" applyNumberFormat="0" applyFont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21" fillId="26" borderId="6" applyNumberFormat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63" fillId="0" borderId="0"/>
    <xf numFmtId="0" fontId="17" fillId="0" borderId="9" applyNumberFormat="0" applyFill="0" applyAlignment="0" applyProtection="0"/>
    <xf numFmtId="0" fontId="7" fillId="6" borderId="0" applyNumberFormat="0" applyBorder="0" applyAlignment="0" applyProtection="0"/>
    <xf numFmtId="0" fontId="16" fillId="11" borderId="7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17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16" fillId="11" borderId="7" applyNumberFormat="0" applyAlignment="0" applyProtection="0"/>
    <xf numFmtId="0" fontId="14" fillId="0" borderId="0" applyNumberFormat="0" applyFill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12" fillId="0" borderId="14" applyNumberFormat="0" applyFill="0" applyAlignment="0" applyProtection="0"/>
    <xf numFmtId="0" fontId="16" fillId="11" borderId="7" applyNumberFormat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14" fillId="0" borderId="0" applyNumberFormat="0" applyFill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12" fillId="0" borderId="14" applyNumberFormat="0" applyFill="0" applyAlignment="0" applyProtection="0"/>
    <xf numFmtId="0" fontId="3" fillId="0" borderId="0"/>
    <xf numFmtId="0" fontId="18" fillId="14" borderId="0" applyNumberFormat="0" applyBorder="0" applyAlignment="0" applyProtection="0"/>
    <xf numFmtId="0" fontId="11" fillId="8" borderId="0" applyNumberFormat="0" applyBorder="0" applyAlignment="0" applyProtection="0"/>
    <xf numFmtId="0" fontId="18" fillId="14" borderId="0" applyNumberFormat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12" fillId="0" borderId="14" applyNumberFormat="0" applyFill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3" fillId="0" borderId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145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5" fillId="6" borderId="0" applyNumberFormat="0" applyBorder="0" applyAlignment="0" applyProtection="0"/>
    <xf numFmtId="0" fontId="25" fillId="0" borderId="0" applyNumberFormat="0" applyFill="0" applyBorder="0" applyAlignment="0" applyProtection="0"/>
    <xf numFmtId="0" fontId="5" fillId="4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5" fillId="9" borderId="21" applyNumberFormat="0" applyFont="0" applyAlignment="0" applyProtection="0"/>
    <xf numFmtId="0" fontId="13" fillId="0" borderId="15" applyNumberFormat="0" applyFill="0" applyAlignment="0" applyProtection="0"/>
    <xf numFmtId="0" fontId="143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43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43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7" fillId="26" borderId="7" applyNumberFormat="0" applyAlignment="0" applyProtection="0">
      <alignment vertical="center"/>
    </xf>
    <xf numFmtId="0" fontId="8" fillId="26" borderId="7" applyNumberFormat="0" applyAlignment="0" applyProtection="0">
      <alignment vertical="center"/>
    </xf>
    <xf numFmtId="0" fontId="8" fillId="26" borderId="7" applyNumberFormat="0" applyAlignment="0" applyProtection="0">
      <alignment vertical="center"/>
    </xf>
    <xf numFmtId="0" fontId="8" fillId="26" borderId="7" applyNumberFormat="0" applyAlignment="0" applyProtection="0">
      <alignment vertical="center"/>
    </xf>
    <xf numFmtId="0" fontId="148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top"/>
      <protection locked="0"/>
    </xf>
    <xf numFmtId="0" fontId="56" fillId="9" borderId="21" applyNumberFormat="0" applyFont="0" applyAlignment="0" applyProtection="0">
      <alignment vertical="center"/>
    </xf>
    <xf numFmtId="0" fontId="5" fillId="9" borderId="21" applyNumberFormat="0" applyFont="0" applyAlignment="0" applyProtection="0">
      <alignment vertical="center"/>
    </xf>
    <xf numFmtId="0" fontId="5" fillId="9" borderId="21" applyNumberFormat="0" applyFont="0" applyAlignment="0" applyProtection="0">
      <alignment vertical="center"/>
    </xf>
    <xf numFmtId="0" fontId="5" fillId="9" borderId="21" applyNumberFormat="0" applyFont="0" applyAlignment="0" applyProtection="0">
      <alignment vertical="center"/>
    </xf>
    <xf numFmtId="239" fontId="150" fillId="0" borderId="0">
      <protection locked="0"/>
    </xf>
    <xf numFmtId="239" fontId="150" fillId="0" borderId="0">
      <protection locked="0"/>
    </xf>
    <xf numFmtId="239" fontId="150" fillId="0" borderId="0">
      <protection locked="0"/>
    </xf>
    <xf numFmtId="0" fontId="151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52" fillId="0" borderId="0"/>
    <xf numFmtId="0" fontId="15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4" fillId="28" borderId="8" applyNumberFormat="0" applyAlignment="0" applyProtection="0">
      <alignment vertical="center"/>
    </xf>
    <xf numFmtId="0" fontId="9" fillId="28" borderId="8" applyNumberFormat="0" applyAlignment="0" applyProtection="0">
      <alignment vertical="center"/>
    </xf>
    <xf numFmtId="0" fontId="9" fillId="28" borderId="8" applyNumberFormat="0" applyAlignment="0" applyProtection="0">
      <alignment vertical="center"/>
    </xf>
    <xf numFmtId="0" fontId="9" fillId="28" borderId="8" applyNumberFormat="0" applyAlignment="0" applyProtection="0">
      <alignment vertical="center"/>
    </xf>
    <xf numFmtId="0" fontId="19" fillId="0" borderId="0"/>
    <xf numFmtId="0" fontId="2" fillId="0" borderId="0">
      <alignment vertical="center"/>
    </xf>
    <xf numFmtId="0" fontId="155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6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57" fillId="11" borderId="7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60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61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2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63" fillId="26" borderId="6" applyNumberFormat="0" applyAlignment="0" applyProtection="0">
      <alignment vertical="center"/>
    </xf>
    <xf numFmtId="0" fontId="21" fillId="26" borderId="6" applyNumberFormat="0" applyAlignment="0" applyProtection="0">
      <alignment vertical="center"/>
    </xf>
    <xf numFmtId="0" fontId="21" fillId="26" borderId="6" applyNumberFormat="0" applyAlignment="0" applyProtection="0">
      <alignment vertical="center"/>
    </xf>
    <xf numFmtId="0" fontId="21" fillId="26" borderId="6" applyNumberFormat="0" applyAlignment="0" applyProtection="0">
      <alignment vertical="center"/>
    </xf>
    <xf numFmtId="239" fontId="150" fillId="0" borderId="0">
      <protection locked="0"/>
    </xf>
    <xf numFmtId="239" fontId="150" fillId="0" borderId="0">
      <protection locked="0"/>
    </xf>
    <xf numFmtId="239" fontId="150" fillId="0" borderId="0">
      <protection locked="0"/>
    </xf>
    <xf numFmtId="239" fontId="150" fillId="0" borderId="0">
      <protection locked="0"/>
    </xf>
    <xf numFmtId="0" fontId="141" fillId="0" borderId="0" applyFont="0" applyFill="0" applyBorder="0" applyAlignment="0" applyProtection="0"/>
    <xf numFmtId="0" fontId="141" fillId="0" borderId="0" applyFont="0" applyFill="0" applyBorder="0" applyAlignment="0" applyProtection="0"/>
    <xf numFmtId="239" fontId="150" fillId="0" borderId="0">
      <protection locked="0"/>
    </xf>
    <xf numFmtId="239" fontId="150" fillId="0" borderId="0">
      <protection locked="0"/>
    </xf>
    <xf numFmtId="239" fontId="150" fillId="0" borderId="0">
      <protection locked="0"/>
    </xf>
    <xf numFmtId="239" fontId="150" fillId="0" borderId="0">
      <protection locked="0"/>
    </xf>
    <xf numFmtId="0" fontId="2" fillId="0" borderId="0">
      <alignment vertical="center"/>
    </xf>
    <xf numFmtId="0" fontId="3" fillId="0" borderId="0"/>
    <xf numFmtId="239" fontId="150" fillId="0" borderId="0">
      <protection locked="0"/>
    </xf>
    <xf numFmtId="239" fontId="150" fillId="0" borderId="0">
      <protection locked="0"/>
    </xf>
    <xf numFmtId="239" fontId="150" fillId="0" borderId="0">
      <protection locked="0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1" fillId="26" borderId="6" applyNumberFormat="0" applyAlignment="0" applyProtection="0"/>
    <xf numFmtId="0" fontId="6" fillId="18" borderId="0" applyNumberFormat="0" applyBorder="0" applyAlignment="0" applyProtection="0"/>
    <xf numFmtId="0" fontId="2" fillId="0" borderId="0">
      <alignment vertical="center"/>
    </xf>
    <xf numFmtId="0" fontId="17" fillId="0" borderId="9" applyNumberFormat="0" applyFill="0" applyAlignment="0" applyProtection="0"/>
    <xf numFmtId="0" fontId="2" fillId="0" borderId="0">
      <alignment vertical="center"/>
    </xf>
    <xf numFmtId="0" fontId="16" fillId="11" borderId="7" applyNumberFormat="0" applyAlignment="0" applyProtection="0"/>
    <xf numFmtId="0" fontId="2" fillId="0" borderId="0">
      <alignment vertical="center"/>
    </xf>
    <xf numFmtId="0" fontId="18" fillId="14" borderId="0" applyNumberFormat="0" applyBorder="0" applyAlignment="0" applyProtection="0"/>
    <xf numFmtId="0" fontId="14" fillId="0" borderId="0" applyNumberFormat="0" applyFill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12" fillId="0" borderId="14" applyNumberFormat="0" applyFill="0" applyAlignment="0" applyProtection="0"/>
    <xf numFmtId="0" fontId="6" fillId="19" borderId="0" applyNumberFormat="0" applyBorder="0" applyAlignment="0" applyProtection="0"/>
    <xf numFmtId="0" fontId="18" fillId="14" borderId="0" applyNumberFormat="0" applyBorder="0" applyAlignment="0" applyProtection="0"/>
    <xf numFmtId="0" fontId="6" fillId="24" borderId="0" applyNumberFormat="0" applyBorder="0" applyAlignment="0" applyProtection="0"/>
    <xf numFmtId="0" fontId="11" fillId="8" borderId="0" applyNumberFormat="0" applyBorder="0" applyAlignment="0" applyProtection="0"/>
    <xf numFmtId="0" fontId="6" fillId="23" borderId="0" applyNumberFormat="0" applyBorder="0" applyAlignment="0" applyProtection="0"/>
    <xf numFmtId="0" fontId="10" fillId="0" borderId="0" applyNumberFormat="0" applyFill="0" applyBorder="0" applyAlignment="0" applyProtection="0"/>
    <xf numFmtId="0" fontId="6" fillId="21" borderId="0" applyNumberFormat="0" applyBorder="0" applyAlignment="0" applyProtection="0"/>
    <xf numFmtId="0" fontId="2" fillId="0" borderId="0">
      <alignment vertical="center"/>
    </xf>
    <xf numFmtId="0" fontId="9" fillId="28" borderId="8" applyNumberFormat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6" borderId="7" applyNumberFormat="0" applyAlignment="0" applyProtection="0"/>
    <xf numFmtId="0" fontId="2" fillId="0" borderId="0">
      <alignment vertical="center"/>
    </xf>
    <xf numFmtId="0" fontId="5" fillId="9" borderId="21" applyNumberFormat="0" applyFont="0" applyAlignment="0" applyProtection="0"/>
    <xf numFmtId="0" fontId="2" fillId="0" borderId="0">
      <alignment vertical="center"/>
    </xf>
    <xf numFmtId="0" fontId="9" fillId="28" borderId="8" applyNumberFormat="0" applyAlignment="0" applyProtection="0"/>
    <xf numFmtId="0" fontId="8" fillId="26" borderId="7" applyNumberFormat="0" applyAlignment="0" applyProtection="0"/>
    <xf numFmtId="0" fontId="5" fillId="9" borderId="21" applyNumberFormat="0" applyFont="0" applyAlignment="0" applyProtection="0"/>
    <xf numFmtId="0" fontId="2" fillId="0" borderId="0">
      <alignment vertical="center"/>
    </xf>
    <xf numFmtId="0" fontId="5" fillId="9" borderId="21" applyNumberFormat="0" applyFon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5" fillId="9" borderId="21" applyNumberFormat="0" applyFont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1" fillId="8" borderId="0" applyNumberFormat="0" applyBorder="0" applyAlignment="0" applyProtection="0"/>
    <xf numFmtId="0" fontId="18" fillId="14" borderId="0" applyNumberFormat="0" applyBorder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16" applyNumberFormat="0" applyFill="0" applyAlignment="0" applyProtection="0"/>
    <xf numFmtId="0" fontId="7" fillId="6" borderId="0" applyNumberFormat="0" applyBorder="0" applyAlignment="0" applyProtection="0"/>
    <xf numFmtId="0" fontId="13" fillId="0" borderId="15" applyNumberFormat="0" applyFill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12" fillId="0" borderId="14" applyNumberFormat="0" applyFill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5" fillId="9" borderId="21" applyNumberFormat="0" applyFont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8" borderId="8" applyNumberFormat="0" applyAlignment="0" applyProtection="0"/>
    <xf numFmtId="0" fontId="8" fillId="26" borderId="7" applyNumberFormat="0" applyAlignment="0" applyProtection="0"/>
    <xf numFmtId="0" fontId="21" fillId="26" borderId="6" applyNumberFormat="0" applyAlignment="0" applyProtection="0"/>
    <xf numFmtId="0" fontId="2" fillId="0" borderId="0">
      <alignment vertical="center"/>
    </xf>
    <xf numFmtId="0" fontId="11" fillId="8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7" fillId="6" borderId="0" applyNumberFormat="0" applyBorder="0" applyAlignment="0" applyProtection="0"/>
    <xf numFmtId="0" fontId="10" fillId="0" borderId="0" applyNumberFormat="0" applyFill="0" applyBorder="0" applyAlignment="0" applyProtection="0"/>
    <xf numFmtId="0" fontId="63" fillId="0" borderId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5" fillId="10" borderId="0" applyNumberFormat="0" applyBorder="0" applyAlignment="0" applyProtection="0"/>
    <xf numFmtId="0" fontId="25" fillId="0" borderId="0" applyNumberFormat="0" applyFill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21" applyNumberFormat="0" applyFont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63" fillId="0" borderId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3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6" fillId="21" borderId="0" applyNumberFormat="0" applyBorder="0" applyAlignment="0" applyProtection="0"/>
    <xf numFmtId="0" fontId="25" fillId="0" borderId="0" applyNumberFormat="0" applyFill="0" applyBorder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63" fillId="0" borderId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25" fillId="0" borderId="0" applyNumberFormat="0" applyFill="0" applyBorder="0" applyAlignment="0" applyProtection="0"/>
    <xf numFmtId="0" fontId="21" fillId="26" borderId="6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7" fillId="6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3" fillId="0" borderId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3" fillId="0" borderId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9" fillId="28" borderId="8" applyNumberFormat="0" applyAlignment="0" applyProtection="0"/>
    <xf numFmtId="0" fontId="3" fillId="0" borderId="0"/>
    <xf numFmtId="0" fontId="3" fillId="0" borderId="0"/>
    <xf numFmtId="0" fontId="3" fillId="0" borderId="0"/>
    <xf numFmtId="0" fontId="8" fillId="26" borderId="7" applyNumberFormat="0" applyAlignment="0" applyProtection="0"/>
    <xf numFmtId="0" fontId="63" fillId="0" borderId="0"/>
    <xf numFmtId="0" fontId="3" fillId="0" borderId="0"/>
    <xf numFmtId="0" fontId="16" fillId="11" borderId="7" applyNumberFormat="0" applyAlignment="0" applyProtection="0"/>
    <xf numFmtId="0" fontId="6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14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11" fillId="8" borderId="0" applyNumberFormat="0" applyBorder="0" applyAlignment="0" applyProtection="0"/>
    <xf numFmtId="0" fontId="10" fillId="0" borderId="0" applyNumberFormat="0" applyFill="0" applyBorder="0" applyAlignment="0" applyProtection="0"/>
    <xf numFmtId="0" fontId="5" fillId="9" borderId="21" applyNumberFormat="0" applyFont="0" applyAlignment="0" applyProtection="0"/>
    <xf numFmtId="0" fontId="11" fillId="8" borderId="0" applyNumberFormat="0" applyBorder="0" applyAlignment="0" applyProtection="0"/>
    <xf numFmtId="0" fontId="3" fillId="0" borderId="0"/>
    <xf numFmtId="0" fontId="9" fillId="28" borderId="8" applyNumberFormat="0" applyAlignment="0" applyProtection="0"/>
    <xf numFmtId="0" fontId="8" fillId="26" borderId="7" applyNumberFormat="0" applyAlignment="0" applyProtection="0"/>
    <xf numFmtId="0" fontId="2" fillId="0" borderId="0">
      <alignment vertical="center"/>
    </xf>
    <xf numFmtId="0" fontId="21" fillId="26" borderId="6" applyNumberFormat="0" applyAlignment="0" applyProtection="0"/>
    <xf numFmtId="0" fontId="2" fillId="0" borderId="0">
      <alignment vertical="center"/>
    </xf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5" fillId="9" borderId="21" applyNumberFormat="0" applyFont="0" applyAlignment="0" applyProtection="0"/>
    <xf numFmtId="0" fontId="2" fillId="0" borderId="0">
      <alignment vertical="center"/>
    </xf>
    <xf numFmtId="0" fontId="7" fillId="6" borderId="0" applyNumberFormat="0" applyBorder="0" applyAlignment="0" applyProtection="0"/>
    <xf numFmtId="0" fontId="10" fillId="0" borderId="0" applyNumberFormat="0" applyFill="0" applyBorder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1" fillId="26" borderId="6" applyNumberFormat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2" fillId="0" borderId="0">
      <alignment vertical="center"/>
    </xf>
    <xf numFmtId="0" fontId="7" fillId="6" borderId="0" applyNumberFormat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6" fillId="1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25" fillId="0" borderId="0" applyNumberFormat="0" applyFill="0" applyBorder="0" applyAlignment="0" applyProtection="0"/>
    <xf numFmtId="0" fontId="7" fillId="6" borderId="0" applyNumberFormat="0" applyBorder="0" applyAlignment="0" applyProtection="0"/>
    <xf numFmtId="0" fontId="3" fillId="0" borderId="0"/>
    <xf numFmtId="0" fontId="14" fillId="0" borderId="0" applyNumberFormat="0" applyFill="0" applyBorder="0" applyAlignment="0" applyProtection="0"/>
    <xf numFmtId="0" fontId="5" fillId="9" borderId="21" applyNumberFormat="0" applyFont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1" fillId="26" borderId="6" applyNumberFormat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5" fillId="9" borderId="21" applyNumberFormat="0" applyFont="0" applyAlignment="0" applyProtection="0"/>
    <xf numFmtId="0" fontId="3" fillId="0" borderId="0"/>
    <xf numFmtId="0" fontId="7" fillId="6" borderId="0" applyNumberFormat="0" applyBorder="0" applyAlignment="0" applyProtection="0"/>
    <xf numFmtId="0" fontId="3" fillId="0" borderId="0"/>
    <xf numFmtId="0" fontId="63" fillId="0" borderId="0"/>
    <xf numFmtId="0" fontId="21" fillId="26" borderId="6" applyNumberFormat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3" fillId="0" borderId="0"/>
    <xf numFmtId="0" fontId="3" fillId="0" borderId="0"/>
    <xf numFmtId="0" fontId="3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3" fillId="0" borderId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3" fillId="0" borderId="0"/>
    <xf numFmtId="0" fontId="5" fillId="15" borderId="0" applyNumberFormat="0" applyBorder="0" applyAlignment="0" applyProtection="0"/>
    <xf numFmtId="0" fontId="18" fillId="14" borderId="0" applyNumberFormat="0" applyBorder="0" applyAlignment="0" applyProtection="0"/>
    <xf numFmtId="0" fontId="3" fillId="0" borderId="0"/>
    <xf numFmtId="0" fontId="63" fillId="0" borderId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6" fillId="18" borderId="0" applyNumberFormat="0" applyBorder="0" applyAlignment="0" applyProtection="0"/>
    <xf numFmtId="0" fontId="25" fillId="0" borderId="0" applyNumberFormat="0" applyFill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63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" fillId="0" borderId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3" fillId="0" borderId="0"/>
    <xf numFmtId="0" fontId="17" fillId="0" borderId="9" applyNumberFormat="0" applyFill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6" fillId="24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3" fillId="0" borderId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3" fillId="0" borderId="0"/>
    <xf numFmtId="0" fontId="3" fillId="0" borderId="0"/>
    <xf numFmtId="0" fontId="3" fillId="0" borderId="0"/>
    <xf numFmtId="0" fontId="3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15" borderId="0" applyNumberFormat="0" applyBorder="0" applyAlignment="0" applyProtection="0"/>
    <xf numFmtId="0" fontId="3" fillId="0" borderId="0"/>
    <xf numFmtId="0" fontId="5" fillId="5" borderId="0" applyNumberFormat="0" applyBorder="0" applyAlignment="0" applyProtection="0"/>
    <xf numFmtId="0" fontId="14" fillId="0" borderId="0" applyNumberFormat="0" applyFill="0" applyBorder="0" applyAlignment="0" applyProtection="0"/>
    <xf numFmtId="0" fontId="3" fillId="0" borderId="0"/>
    <xf numFmtId="0" fontId="63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25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25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3" fillId="0" borderId="0"/>
    <xf numFmtId="0" fontId="22" fillId="0" borderId="0" applyNumberFormat="0" applyFill="0" applyBorder="0" applyAlignment="0" applyProtection="0"/>
    <xf numFmtId="0" fontId="18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3" fillId="0" borderId="0"/>
    <xf numFmtId="0" fontId="63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3" fillId="0" borderId="0"/>
    <xf numFmtId="0" fontId="5" fillId="7" borderId="0" applyNumberFormat="0" applyBorder="0" applyAlignment="0" applyProtection="0"/>
    <xf numFmtId="0" fontId="16" fillId="11" borderId="7" applyNumberFormat="0" applyAlignment="0" applyProtection="0"/>
    <xf numFmtId="0" fontId="22" fillId="0" borderId="0" applyNumberFormat="0" applyFill="0" applyBorder="0" applyAlignment="0" applyProtection="0"/>
    <xf numFmtId="0" fontId="63" fillId="0" borderId="0"/>
    <xf numFmtId="0" fontId="22" fillId="0" borderId="0" applyNumberFormat="0" applyFill="0" applyBorder="0" applyAlignment="0" applyProtection="0"/>
    <xf numFmtId="0" fontId="3" fillId="0" borderId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3" fillId="0" borderId="0"/>
    <xf numFmtId="0" fontId="5" fillId="10" borderId="0" applyNumberFormat="0" applyBorder="0" applyAlignment="0" applyProtection="0"/>
    <xf numFmtId="0" fontId="16" fillId="11" borderId="7" applyNumberFormat="0" applyAlignment="0" applyProtection="0"/>
    <xf numFmtId="0" fontId="5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3" fillId="0" borderId="0"/>
    <xf numFmtId="0" fontId="14" fillId="0" borderId="16" applyNumberFormat="0" applyFill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3" fillId="0" borderId="0"/>
    <xf numFmtId="0" fontId="16" fillId="11" borderId="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3" fillId="0" borderId="0"/>
    <xf numFmtId="0" fontId="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83" fillId="0" borderId="0"/>
    <xf numFmtId="0" fontId="3" fillId="0" borderId="0"/>
    <xf numFmtId="0" fontId="83" fillId="0" borderId="0"/>
    <xf numFmtId="0" fontId="22" fillId="0" borderId="0" applyNumberFormat="0" applyFill="0" applyBorder="0" applyAlignment="0" applyProtection="0"/>
    <xf numFmtId="0" fontId="3" fillId="0" borderId="0"/>
    <xf numFmtId="0" fontId="22" fillId="0" borderId="0" applyNumberFormat="0" applyFill="0" applyBorder="0" applyAlignment="0" applyProtection="0"/>
    <xf numFmtId="0" fontId="3" fillId="0" borderId="0"/>
    <xf numFmtId="0" fontId="3" fillId="0" borderId="0"/>
    <xf numFmtId="0" fontId="83" fillId="0" borderId="0"/>
    <xf numFmtId="0" fontId="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83" fillId="0" borderId="0"/>
    <xf numFmtId="0" fontId="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83" fillId="0" borderId="0"/>
    <xf numFmtId="0" fontId="3" fillId="0" borderId="0"/>
    <xf numFmtId="0" fontId="83" fillId="0" borderId="0"/>
    <xf numFmtId="0" fontId="3" fillId="0" borderId="0"/>
    <xf numFmtId="0" fontId="3" fillId="0" borderId="0"/>
    <xf numFmtId="177" fontId="2" fillId="0" borderId="0" applyNumberFormat="0" applyFill="0" applyBorder="0" applyAlignment="0" applyProtection="0"/>
    <xf numFmtId="177" fontId="2" fillId="0" borderId="0" applyNumberFormat="0" applyFill="0" applyBorder="0" applyAlignment="0" applyProtection="0"/>
    <xf numFmtId="177" fontId="2" fillId="0" borderId="0" applyNumberFormat="0" applyFill="0" applyBorder="0" applyAlignment="0" applyProtection="0"/>
    <xf numFmtId="177" fontId="2" fillId="0" borderId="0" applyNumberFormat="0" applyFill="0" applyBorder="0" applyAlignment="0" applyProtection="0"/>
    <xf numFmtId="177" fontId="2" fillId="0" borderId="0" applyNumberFormat="0" applyFill="0" applyBorder="0" applyAlignment="0" applyProtection="0"/>
    <xf numFmtId="177" fontId="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>
      <alignment vertical="center"/>
    </xf>
    <xf numFmtId="0" fontId="2" fillId="33" borderId="0" applyNumberFormat="0" applyFont="0" applyBorder="0" applyAlignment="0" applyProtection="0"/>
    <xf numFmtId="0" fontId="2" fillId="33" borderId="0" applyNumberFormat="0" applyFont="0" applyBorder="0" applyAlignment="0" applyProtection="0"/>
    <xf numFmtId="0" fontId="2" fillId="33" borderId="0" applyNumberFormat="0" applyFont="0" applyBorder="0" applyAlignment="0" applyProtection="0"/>
    <xf numFmtId="0" fontId="2" fillId="33" borderId="0" applyNumberFormat="0" applyFont="0" applyBorder="0" applyAlignment="0" applyProtection="0"/>
    <xf numFmtId="0" fontId="2" fillId="33" borderId="0" applyNumberFormat="0" applyFont="0" applyBorder="0" applyAlignment="0" applyProtection="0"/>
    <xf numFmtId="0" fontId="2" fillId="33" borderId="0" applyNumberFormat="0" applyFont="0" applyBorder="0" applyAlignment="0" applyProtection="0"/>
    <xf numFmtId="0" fontId="2" fillId="32" borderId="0" applyNumberFormat="0" applyFont="0" applyBorder="0" applyAlignment="0" applyProtection="0"/>
    <xf numFmtId="0" fontId="2" fillId="32" borderId="0" applyNumberFormat="0" applyFont="0" applyBorder="0" applyAlignment="0" applyProtection="0"/>
    <xf numFmtId="0" fontId="2" fillId="32" borderId="0" applyNumberFormat="0" applyFont="0" applyBorder="0" applyAlignment="0" applyProtection="0"/>
    <xf numFmtId="0" fontId="2" fillId="32" borderId="0" applyNumberFormat="0" applyFont="0" applyBorder="0" applyAlignment="0" applyProtection="0"/>
    <xf numFmtId="0" fontId="2" fillId="32" borderId="0" applyNumberFormat="0" applyFont="0" applyBorder="0" applyAlignment="0" applyProtection="0"/>
    <xf numFmtId="0" fontId="2" fillId="32" borderId="0" applyNumberFormat="0" applyFont="0" applyBorder="0" applyAlignment="0" applyProtection="0"/>
    <xf numFmtId="0" fontId="2" fillId="0" borderId="0" applyNumberFormat="0" applyFont="0" applyBorder="0" applyAlignment="0" applyProtection="0"/>
    <xf numFmtId="0" fontId="2" fillId="0" borderId="0" applyNumberFormat="0" applyFont="0" applyBorder="0" applyAlignment="0" applyProtection="0"/>
    <xf numFmtId="0" fontId="2" fillId="0" borderId="0" applyNumberFormat="0" applyFont="0" applyBorder="0" applyAlignment="0" applyProtection="0"/>
    <xf numFmtId="0" fontId="2" fillId="0" borderId="0" applyNumberFormat="0" applyFont="0" applyBorder="0" applyAlignment="0" applyProtection="0"/>
    <xf numFmtId="0" fontId="2" fillId="0" borderId="0" applyNumberFormat="0" applyFont="0" applyBorder="0" applyAlignment="0" applyProtection="0"/>
    <xf numFmtId="0" fontId="2" fillId="0" borderId="0" applyNumberFormat="0" applyFont="0" applyBorder="0" applyAlignment="0" applyProtection="0"/>
    <xf numFmtId="0" fontId="2" fillId="1" borderId="0" applyNumberFormat="0" applyFont="0" applyBorder="0" applyAlignment="0" applyProtection="0"/>
    <xf numFmtId="0" fontId="2" fillId="1" borderId="0" applyNumberFormat="0" applyFont="0" applyBorder="0" applyAlignment="0" applyProtection="0"/>
    <xf numFmtId="0" fontId="2" fillId="1" borderId="0" applyNumberFormat="0" applyFont="0" applyBorder="0" applyAlignment="0" applyProtection="0"/>
    <xf numFmtId="0" fontId="2" fillId="1" borderId="0" applyNumberFormat="0" applyFont="0" applyBorder="0" applyAlignment="0" applyProtection="0"/>
    <xf numFmtId="0" fontId="2" fillId="1" borderId="0" applyNumberFormat="0" applyFont="0" applyBorder="0" applyAlignment="0" applyProtection="0"/>
    <xf numFmtId="0" fontId="2" fillId="1" borderId="0" applyNumberFormat="0" applyFont="0" applyBorder="0" applyAlignment="0" applyProtection="0"/>
    <xf numFmtId="10" fontId="27" fillId="3" borderId="19" applyNumberFormat="0" applyBorder="0" applyAlignment="0" applyProtection="0"/>
    <xf numFmtId="38" fontId="27" fillId="2" borderId="0" applyNumberFormat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84" fontId="2" fillId="0" borderId="0">
      <alignment wrapText="1"/>
    </xf>
    <xf numFmtId="184" fontId="2" fillId="0" borderId="0">
      <alignment wrapText="1"/>
    </xf>
    <xf numFmtId="184" fontId="2" fillId="0" borderId="0">
      <alignment wrapText="1"/>
    </xf>
    <xf numFmtId="184" fontId="2" fillId="0" borderId="0">
      <alignment wrapText="1"/>
    </xf>
    <xf numFmtId="184" fontId="2" fillId="0" borderId="0">
      <alignment wrapText="1"/>
    </xf>
    <xf numFmtId="184" fontId="2" fillId="0" borderId="0">
      <alignment wrapText="1"/>
    </xf>
    <xf numFmtId="184" fontId="2" fillId="0" borderId="0">
      <alignment wrapText="1"/>
    </xf>
    <xf numFmtId="184" fontId="2" fillId="0" borderId="0">
      <alignment wrapText="1"/>
    </xf>
    <xf numFmtId="184" fontId="2" fillId="0" borderId="0">
      <alignment wrapText="1"/>
    </xf>
    <xf numFmtId="184" fontId="2" fillId="0" borderId="0">
      <alignment wrapText="1"/>
    </xf>
    <xf numFmtId="184" fontId="2" fillId="0" borderId="0">
      <alignment wrapText="1"/>
    </xf>
    <xf numFmtId="184" fontId="2" fillId="0" borderId="0">
      <alignment wrapText="1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7" fillId="2" borderId="0" applyNumberFormat="0" applyBorder="0" applyAlignment="0" applyProtection="0"/>
    <xf numFmtId="10" fontId="27" fillId="3" borderId="19" applyNumberFormat="0" applyBorder="0" applyAlignment="0" applyProtection="0"/>
    <xf numFmtId="0" fontId="2" fillId="1" borderId="0" applyNumberFormat="0" applyFont="0" applyBorder="0" applyAlignment="0" applyProtection="0"/>
    <xf numFmtId="0" fontId="2" fillId="1" borderId="0" applyNumberFormat="0" applyFont="0" applyBorder="0" applyAlignment="0" applyProtection="0"/>
    <xf numFmtId="0" fontId="2" fillId="1" borderId="0" applyNumberFormat="0" applyFont="0" applyBorder="0" applyAlignment="0" applyProtection="0"/>
    <xf numFmtId="0" fontId="2" fillId="1" borderId="0" applyNumberFormat="0" applyFont="0" applyBorder="0" applyAlignment="0" applyProtection="0"/>
    <xf numFmtId="0" fontId="2" fillId="1" borderId="0" applyNumberFormat="0" applyFont="0" applyBorder="0" applyAlignment="0" applyProtection="0"/>
    <xf numFmtId="0" fontId="2" fillId="1" borderId="0" applyNumberFormat="0" applyFont="0" applyBorder="0" applyAlignment="0" applyProtection="0"/>
    <xf numFmtId="0" fontId="2" fillId="0" borderId="0" applyNumberFormat="0" applyFont="0" applyBorder="0" applyAlignment="0" applyProtection="0"/>
    <xf numFmtId="0" fontId="2" fillId="0" borderId="0" applyNumberFormat="0" applyFont="0" applyBorder="0" applyAlignment="0" applyProtection="0"/>
    <xf numFmtId="0" fontId="2" fillId="0" borderId="0" applyNumberFormat="0" applyFont="0" applyBorder="0" applyAlignment="0" applyProtection="0"/>
    <xf numFmtId="0" fontId="2" fillId="0" borderId="0" applyNumberFormat="0" applyFont="0" applyBorder="0" applyAlignment="0" applyProtection="0"/>
    <xf numFmtId="0" fontId="2" fillId="0" borderId="0" applyNumberFormat="0" applyFont="0" applyBorder="0" applyAlignment="0" applyProtection="0"/>
    <xf numFmtId="0" fontId="2" fillId="0" borderId="0" applyNumberFormat="0" applyFont="0" applyBorder="0" applyAlignment="0" applyProtection="0"/>
    <xf numFmtId="0" fontId="2" fillId="32" borderId="0" applyNumberFormat="0" applyFont="0" applyBorder="0" applyAlignment="0" applyProtection="0"/>
    <xf numFmtId="0" fontId="2" fillId="32" borderId="0" applyNumberFormat="0" applyFont="0" applyBorder="0" applyAlignment="0" applyProtection="0"/>
    <xf numFmtId="0" fontId="2" fillId="32" borderId="0" applyNumberFormat="0" applyFont="0" applyBorder="0" applyAlignment="0" applyProtection="0"/>
    <xf numFmtId="0" fontId="2" fillId="32" borderId="0" applyNumberFormat="0" applyFont="0" applyBorder="0" applyAlignment="0" applyProtection="0"/>
    <xf numFmtId="0" fontId="2" fillId="32" borderId="0" applyNumberFormat="0" applyFont="0" applyBorder="0" applyAlignment="0" applyProtection="0"/>
    <xf numFmtId="0" fontId="2" fillId="32" borderId="0" applyNumberFormat="0" applyFont="0" applyBorder="0" applyAlignment="0" applyProtection="0"/>
    <xf numFmtId="0" fontId="2" fillId="33" borderId="0" applyNumberFormat="0" applyFont="0" applyBorder="0" applyAlignment="0" applyProtection="0"/>
    <xf numFmtId="0" fontId="2" fillId="33" borderId="0" applyNumberFormat="0" applyFont="0" applyBorder="0" applyAlignment="0" applyProtection="0"/>
    <xf numFmtId="0" fontId="2" fillId="33" borderId="0" applyNumberFormat="0" applyFont="0" applyBorder="0" applyAlignment="0" applyProtection="0"/>
    <xf numFmtId="0" fontId="2" fillId="33" borderId="0" applyNumberFormat="0" applyFont="0" applyBorder="0" applyAlignment="0" applyProtection="0"/>
    <xf numFmtId="0" fontId="2" fillId="33" borderId="0" applyNumberFormat="0" applyFont="0" applyBorder="0" applyAlignment="0" applyProtection="0"/>
    <xf numFmtId="0" fontId="2" fillId="33" borderId="0" applyNumberFormat="0" applyFont="0" applyBorder="0" applyAlignment="0" applyProtection="0"/>
    <xf numFmtId="0" fontId="2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>
      <alignment vertical="center"/>
    </xf>
    <xf numFmtId="0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2" fillId="0" borderId="0" applyNumberFormat="0" applyFill="0" applyBorder="0" applyAlignment="0" applyProtection="0"/>
    <xf numFmtId="177" fontId="2" fillId="0" borderId="0" applyNumberFormat="0" applyFill="0" applyBorder="0" applyAlignment="0" applyProtection="0"/>
    <xf numFmtId="177" fontId="2" fillId="0" borderId="0" applyNumberFormat="0" applyFill="0" applyBorder="0" applyAlignment="0" applyProtection="0"/>
    <xf numFmtId="177" fontId="2" fillId="0" borderId="0" applyNumberFormat="0" applyFill="0" applyBorder="0" applyAlignment="0" applyProtection="0"/>
    <xf numFmtId="177" fontId="2" fillId="0" borderId="0" applyNumberFormat="0" applyFill="0" applyBorder="0" applyAlignment="0" applyProtection="0"/>
    <xf numFmtId="177" fontId="2" fillId="0" borderId="0" applyNumberFormat="0" applyFill="0" applyBorder="0" applyAlignment="0" applyProtection="0"/>
    <xf numFmtId="0" fontId="3" fillId="0" borderId="0"/>
    <xf numFmtId="0" fontId="83" fillId="0" borderId="0"/>
    <xf numFmtId="0" fontId="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83" fillId="0" borderId="0"/>
    <xf numFmtId="0" fontId="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83" fillId="0" borderId="0"/>
    <xf numFmtId="0" fontId="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83" fillId="0" borderId="0"/>
    <xf numFmtId="0" fontId="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83" fillId="0" borderId="0"/>
    <xf numFmtId="0" fontId="3" fillId="0" borderId="0"/>
    <xf numFmtId="0" fontId="83" fillId="0" borderId="0"/>
    <xf numFmtId="0" fontId="63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4" borderId="0" applyNumberFormat="0" applyBorder="0" applyAlignment="0" applyProtection="0"/>
    <xf numFmtId="0" fontId="90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1" fillId="8" borderId="0" applyNumberFormat="0" applyBorder="0" applyAlignment="0" applyProtection="0"/>
    <xf numFmtId="0" fontId="16" fillId="11" borderId="7" applyNumberFormat="0" applyAlignment="0" applyProtection="0"/>
    <xf numFmtId="0" fontId="14" fillId="0" borderId="0" applyNumberFormat="0" applyFill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12" fillId="0" borderId="14" applyNumberFormat="0" applyFill="0" applyAlignment="0" applyProtection="0"/>
    <xf numFmtId="0" fontId="10" fillId="0" borderId="0" applyNumberFormat="0" applyFill="0" applyBorder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7" fillId="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" fillId="10" borderId="0" applyNumberFormat="0" applyBorder="0" applyAlignment="0" applyProtection="0"/>
    <xf numFmtId="0" fontId="3" fillId="0" borderId="0"/>
    <xf numFmtId="0" fontId="5" fillId="13" borderId="0" applyNumberFormat="0" applyBorder="0" applyAlignment="0" applyProtection="0"/>
    <xf numFmtId="0" fontId="17" fillId="0" borderId="9" applyNumberFormat="0" applyFill="0" applyAlignment="0" applyProtection="0"/>
    <xf numFmtId="0" fontId="12" fillId="0" borderId="14" applyNumberFormat="0" applyFill="0" applyAlignment="0" applyProtection="0"/>
    <xf numFmtId="0" fontId="16" fillId="11" borderId="7" applyNumberFormat="0" applyAlignment="0" applyProtection="0"/>
    <xf numFmtId="0" fontId="13" fillId="0" borderId="15" applyNumberFormat="0" applyFill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12" fillId="0" borderId="14" applyNumberFormat="0" applyFill="0" applyAlignment="0" applyProtection="0"/>
    <xf numFmtId="0" fontId="17" fillId="0" borderId="9" applyNumberFormat="0" applyFill="0" applyAlignment="0" applyProtection="0"/>
    <xf numFmtId="0" fontId="14" fillId="0" borderId="16" applyNumberFormat="0" applyFill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8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4" fillId="0" borderId="0" applyNumberFormat="0" applyFill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1" fillId="8" borderId="0" applyNumberFormat="0" applyBorder="0" applyAlignment="0" applyProtection="0"/>
    <xf numFmtId="0" fontId="14" fillId="0" borderId="16" applyNumberFormat="0" applyFill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11" borderId="7" applyNumberFormat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1" fillId="26" borderId="6" applyNumberFormat="0" applyAlignment="0" applyProtection="0"/>
    <xf numFmtId="0" fontId="14" fillId="0" borderId="0" applyNumberFormat="0" applyFill="0" applyBorder="0" applyAlignment="0" applyProtection="0"/>
    <xf numFmtId="0" fontId="5" fillId="9" borderId="21" applyNumberFormat="0" applyFont="0" applyAlignment="0" applyProtection="0"/>
    <xf numFmtId="0" fontId="8" fillId="26" borderId="7" applyNumberFormat="0" applyAlignment="0" applyProtection="0"/>
    <xf numFmtId="0" fontId="9" fillId="28" borderId="8" applyNumberFormat="0" applyAlignment="0" applyProtection="0"/>
    <xf numFmtId="0" fontId="7" fillId="6" borderId="0" applyNumberFormat="0" applyBorder="0" applyAlignment="0" applyProtection="0"/>
    <xf numFmtId="0" fontId="17" fillId="0" borderId="9" applyNumberFormat="0" applyFill="0" applyAlignment="0" applyProtection="0"/>
    <xf numFmtId="0" fontId="21" fillId="26" borderId="6" applyNumberFormat="0" applyAlignment="0" applyProtection="0"/>
    <xf numFmtId="0" fontId="12" fillId="0" borderId="14" applyNumberFormat="0" applyFill="0" applyAlignment="0" applyProtection="0"/>
    <xf numFmtId="0" fontId="17" fillId="0" borderId="9" applyNumberFormat="0" applyFill="0" applyAlignment="0" applyProtection="0"/>
    <xf numFmtId="0" fontId="5" fillId="9" borderId="21" applyNumberFormat="0" applyFont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18" fillId="14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1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5" fillId="5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16" fillId="11" borderId="7" applyNumberFormat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7" borderId="0" applyNumberFormat="0" applyBorder="0" applyAlignment="0" applyProtection="0"/>
    <xf numFmtId="0" fontId="16" fillId="11" borderId="7" applyNumberFormat="0" applyAlignment="0" applyProtection="0"/>
    <xf numFmtId="0" fontId="18" fillId="14" borderId="0" applyNumberFormat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7" fillId="6" borderId="0" applyNumberFormat="0" applyBorder="0" applyAlignment="0" applyProtection="0"/>
    <xf numFmtId="0" fontId="12" fillId="0" borderId="14" applyNumberFormat="0" applyFill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10" fillId="0" borderId="0" applyNumberFormat="0" applyFill="0" applyBorder="0" applyAlignment="0" applyProtection="0"/>
    <xf numFmtId="0" fontId="8" fillId="26" borderId="7" applyNumberFormat="0" applyAlignment="0" applyProtection="0"/>
    <xf numFmtId="0" fontId="9" fillId="28" borderId="8" applyNumberFormat="0" applyAlignment="0" applyProtection="0"/>
    <xf numFmtId="0" fontId="11" fillId="8" borderId="0" applyNumberFormat="0" applyBorder="0" applyAlignment="0" applyProtection="0"/>
    <xf numFmtId="0" fontId="7" fillId="6" borderId="0" applyNumberFormat="0" applyBorder="0" applyAlignment="0" applyProtection="0"/>
    <xf numFmtId="0" fontId="11" fillId="8" borderId="0" applyNumberFormat="0" applyBorder="0" applyAlignment="0" applyProtection="0"/>
    <xf numFmtId="0" fontId="10" fillId="0" borderId="0" applyNumberFormat="0" applyFill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10" fillId="0" borderId="0" applyNumberFormat="0" applyFill="0" applyBorder="0" applyAlignment="0" applyProtection="0"/>
    <xf numFmtId="0" fontId="6" fillId="23" borderId="0" applyNumberFormat="0" applyBorder="0" applyAlignment="0" applyProtection="0"/>
    <xf numFmtId="0" fontId="11" fillId="8" borderId="0" applyNumberFormat="0" applyBorder="0" applyAlignment="0" applyProtection="0"/>
    <xf numFmtId="0" fontId="6" fillId="21" borderId="0" applyNumberFormat="0" applyBorder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16" fillId="11" borderId="7" applyNumberFormat="0" applyAlignment="0" applyProtection="0"/>
    <xf numFmtId="0" fontId="17" fillId="0" borderId="9" applyNumberFormat="0" applyFill="0" applyAlignment="0" applyProtection="0"/>
    <xf numFmtId="0" fontId="12" fillId="0" borderId="14" applyNumberFormat="0" applyFill="0" applyAlignment="0" applyProtection="0"/>
    <xf numFmtId="0" fontId="5" fillId="9" borderId="21" applyNumberFormat="0" applyFont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0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21" fillId="26" borderId="6" applyNumberFormat="0" applyAlignment="0" applyProtection="0"/>
    <xf numFmtId="0" fontId="11" fillId="8" borderId="0" applyNumberFormat="0" applyBorder="0" applyAlignment="0" applyProtection="0"/>
    <xf numFmtId="0" fontId="17" fillId="0" borderId="9" applyNumberFormat="0" applyFill="0" applyAlignment="0" applyProtection="0"/>
    <xf numFmtId="0" fontId="18" fillId="14" borderId="0" applyNumberFormat="0" applyBorder="0" applyAlignment="0" applyProtection="0"/>
    <xf numFmtId="0" fontId="16" fillId="11" borderId="7" applyNumberFormat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18" fillId="14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6" fillId="11" borderId="7" applyNumberFormat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5" fillId="9" borderId="21" applyNumberFormat="0" applyFont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21" fillId="26" borderId="6" applyNumberFormat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7" fillId="6" borderId="0" applyNumberFormat="0" applyBorder="0" applyAlignment="0" applyProtection="0"/>
    <xf numFmtId="0" fontId="16" fillId="11" borderId="7" applyNumberFormat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17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16" fillId="11" borderId="7" applyNumberFormat="0" applyAlignment="0" applyProtection="0"/>
    <xf numFmtId="0" fontId="14" fillId="0" borderId="0" applyNumberFormat="0" applyFill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12" fillId="0" borderId="14" applyNumberFormat="0" applyFill="0" applyAlignment="0" applyProtection="0"/>
    <xf numFmtId="0" fontId="16" fillId="11" borderId="7" applyNumberFormat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18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14" fillId="0" borderId="0" applyNumberFormat="0" applyFill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12" fillId="0" borderId="14" applyNumberFormat="0" applyFill="0" applyAlignment="0" applyProtection="0"/>
    <xf numFmtId="0" fontId="18" fillId="14" borderId="0" applyNumberFormat="0" applyBorder="0" applyAlignment="0" applyProtection="0"/>
    <xf numFmtId="0" fontId="11" fillId="8" borderId="0" applyNumberFormat="0" applyBorder="0" applyAlignment="0" applyProtection="0"/>
    <xf numFmtId="0" fontId="18" fillId="14" borderId="0" applyNumberFormat="0" applyBorder="0" applyAlignment="0" applyProtection="0"/>
    <xf numFmtId="0" fontId="11" fillId="8" borderId="0" applyNumberFormat="0" applyBorder="0" applyAlignment="0" applyProtection="0"/>
    <xf numFmtId="0" fontId="9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12" fillId="0" borderId="14" applyNumberFormat="0" applyFill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22" fillId="0" borderId="0" applyNumberFormat="0" applyFill="0" applyBorder="0" applyAlignment="0" applyProtection="0"/>
    <xf numFmtId="0" fontId="21" fillId="26" borderId="6" applyNumberFormat="0" applyAlignment="0" applyProtection="0"/>
    <xf numFmtId="0" fontId="24" fillId="0" borderId="11" applyNumberFormat="0" applyFill="0" applyAlignment="0" applyProtection="0"/>
    <xf numFmtId="0" fontId="5" fillId="6" borderId="0" applyNumberFormat="0" applyBorder="0" applyAlignment="0" applyProtection="0"/>
    <xf numFmtId="0" fontId="25" fillId="0" borderId="0" applyNumberFormat="0" applyFill="0" applyBorder="0" applyAlignment="0" applyProtection="0"/>
    <xf numFmtId="0" fontId="5" fillId="4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5" fillId="9" borderId="21" applyNumberFormat="0" applyFont="0" applyAlignment="0" applyProtection="0"/>
    <xf numFmtId="0" fontId="13" fillId="0" borderId="15" applyNumberFormat="0" applyFill="0" applyAlignment="0" applyProtection="0"/>
    <xf numFmtId="0" fontId="21" fillId="26" borderId="6" applyNumberFormat="0" applyAlignment="0" applyProtection="0"/>
    <xf numFmtId="0" fontId="6" fillId="18" borderId="0" applyNumberFormat="0" applyBorder="0" applyAlignment="0" applyProtection="0"/>
    <xf numFmtId="0" fontId="17" fillId="0" borderId="9" applyNumberFormat="0" applyFill="0" applyAlignment="0" applyProtection="0"/>
    <xf numFmtId="0" fontId="16" fillId="11" borderId="7" applyNumberFormat="0" applyAlignment="0" applyProtection="0"/>
    <xf numFmtId="0" fontId="18" fillId="14" borderId="0" applyNumberFormat="0" applyBorder="0" applyAlignment="0" applyProtection="0"/>
    <xf numFmtId="0" fontId="14" fillId="0" borderId="0" applyNumberFormat="0" applyFill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12" fillId="0" borderId="14" applyNumberFormat="0" applyFill="0" applyAlignment="0" applyProtection="0"/>
    <xf numFmtId="0" fontId="6" fillId="19" borderId="0" applyNumberFormat="0" applyBorder="0" applyAlignment="0" applyProtection="0"/>
    <xf numFmtId="0" fontId="18" fillId="14" borderId="0" applyNumberFormat="0" applyBorder="0" applyAlignment="0" applyProtection="0"/>
    <xf numFmtId="0" fontId="6" fillId="24" borderId="0" applyNumberFormat="0" applyBorder="0" applyAlignment="0" applyProtection="0"/>
    <xf numFmtId="0" fontId="11" fillId="8" borderId="0" applyNumberFormat="0" applyBorder="0" applyAlignment="0" applyProtection="0"/>
    <xf numFmtId="0" fontId="6" fillId="23" borderId="0" applyNumberFormat="0" applyBorder="0" applyAlignment="0" applyProtection="0"/>
    <xf numFmtId="0" fontId="10" fillId="0" borderId="0" applyNumberFormat="0" applyFill="0" applyBorder="0" applyAlignment="0" applyProtection="0"/>
    <xf numFmtId="0" fontId="6" fillId="21" borderId="0" applyNumberFormat="0" applyBorder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5" fillId="9" borderId="21" applyNumberFormat="0" applyFont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5" fillId="9" borderId="21" applyNumberFormat="0" applyFont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1" fillId="8" borderId="0" applyNumberFormat="0" applyBorder="0" applyAlignment="0" applyProtection="0"/>
    <xf numFmtId="0" fontId="18" fillId="14" borderId="0" applyNumberFormat="0" applyBorder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10" fillId="0" borderId="0" applyNumberFormat="0" applyFill="0" applyBorder="0" applyAlignment="0" applyProtection="0"/>
    <xf numFmtId="0" fontId="7" fillId="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5" fillId="9" borderId="21" applyNumberFormat="0" applyFont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1" fillId="26" borderId="6" applyNumberFormat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7" fillId="6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5" fillId="10" borderId="0" applyNumberFormat="0" applyBorder="0" applyAlignment="0" applyProtection="0"/>
    <xf numFmtId="0" fontId="25" fillId="0" borderId="0" applyNumberFormat="0" applyFill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21" applyNumberFormat="0" applyFont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6" fillId="21" borderId="0" applyNumberFormat="0" applyBorder="0" applyAlignment="0" applyProtection="0"/>
    <xf numFmtId="0" fontId="25" fillId="0" borderId="0" applyNumberFormat="0" applyFill="0" applyBorder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25" fillId="0" borderId="0" applyNumberFormat="0" applyFill="0" applyBorder="0" applyAlignment="0" applyProtection="0"/>
    <xf numFmtId="0" fontId="21" fillId="26" borderId="6" applyNumberFormat="0" applyAlignment="0" applyProtection="0"/>
    <xf numFmtId="0" fontId="22" fillId="0" borderId="0" applyNumberFormat="0" applyFill="0" applyBorder="0" applyAlignment="0" applyProtection="0"/>
    <xf numFmtId="0" fontId="5" fillId="9" borderId="21" applyNumberFormat="0" applyFont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7" fillId="6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90" fillId="0" borderId="0" applyNumberFormat="0" applyFill="0" applyBorder="0" applyAlignment="0" applyProtection="0"/>
    <xf numFmtId="0" fontId="16" fillId="11" borderId="7" applyNumberFormat="0" applyAlignment="0" applyProtection="0"/>
    <xf numFmtId="0" fontId="12" fillId="0" borderId="14" applyNumberFormat="0" applyFill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11" fillId="8" borderId="0" applyNumberFormat="0" applyBorder="0" applyAlignment="0" applyProtection="0"/>
    <xf numFmtId="0" fontId="10" fillId="0" borderId="0" applyNumberFormat="0" applyFill="0" applyBorder="0" applyAlignment="0" applyProtection="0"/>
    <xf numFmtId="0" fontId="5" fillId="9" borderId="21" applyNumberFormat="0" applyFont="0" applyAlignment="0" applyProtection="0"/>
    <xf numFmtId="0" fontId="11" fillId="8" borderId="0" applyNumberFormat="0" applyBorder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1" fillId="26" borderId="6" applyNumberFormat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21" applyNumberFormat="0" applyFont="0" applyAlignment="0" applyProtection="0"/>
    <xf numFmtId="0" fontId="7" fillId="6" borderId="0" applyNumberFormat="0" applyBorder="0" applyAlignment="0" applyProtection="0"/>
    <xf numFmtId="0" fontId="10" fillId="0" borderId="0" applyNumberFormat="0" applyFill="0" applyBorder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1" fillId="26" borderId="6" applyNumberFormat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7" fillId="6" borderId="0" applyNumberFormat="0" applyBorder="0" applyAlignment="0" applyProtection="0"/>
    <xf numFmtId="0" fontId="6" fillId="17" borderId="0" applyNumberFormat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2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" fillId="9" borderId="21" applyNumberFormat="0" applyFont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1" fillId="26" borderId="6" applyNumberFormat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7" fillId="6" borderId="0" applyNumberFormat="0" applyBorder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5" fillId="15" borderId="0" applyNumberFormat="0" applyBorder="0" applyAlignment="0" applyProtection="0"/>
    <xf numFmtId="0" fontId="18" fillId="14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6" fillId="18" borderId="0" applyNumberFormat="0" applyBorder="0" applyAlignment="0" applyProtection="0"/>
    <xf numFmtId="0" fontId="25" fillId="0" borderId="0" applyNumberFormat="0" applyFill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17" fillId="0" borderId="9" applyNumberFormat="0" applyFill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1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18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16" fillId="11" borderId="7" applyNumberFormat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16" fillId="11" borderId="7" applyNumberFormat="0" applyAlignment="0" applyProtection="0"/>
    <xf numFmtId="0" fontId="14" fillId="0" borderId="16" applyNumberFormat="0" applyFill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" fillId="13" borderId="0" applyNumberFormat="0" applyBorder="0" applyAlignment="0" applyProtection="0"/>
    <xf numFmtId="0" fontId="17" fillId="0" borderId="9" applyNumberFormat="0" applyFill="0" applyAlignment="0" applyProtection="0"/>
    <xf numFmtId="0" fontId="12" fillId="0" borderId="14" applyNumberFormat="0" applyFill="0" applyAlignment="0" applyProtection="0"/>
    <xf numFmtId="0" fontId="16" fillId="11" borderId="7" applyNumberFormat="0" applyAlignment="0" applyProtection="0"/>
    <xf numFmtId="0" fontId="13" fillId="0" borderId="15" applyNumberFormat="0" applyFill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12" fillId="0" borderId="14" applyNumberFormat="0" applyFill="0" applyAlignment="0" applyProtection="0"/>
    <xf numFmtId="0" fontId="17" fillId="0" borderId="9" applyNumberFormat="0" applyFill="0" applyAlignment="0" applyProtection="0"/>
    <xf numFmtId="0" fontId="14" fillId="0" borderId="16" applyNumberFormat="0" applyFill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8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4" fillId="0" borderId="0" applyNumberFormat="0" applyFill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12" fillId="0" borderId="14" applyNumberFormat="0" applyFill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1" fillId="8" borderId="0" applyNumberFormat="0" applyBorder="0" applyAlignment="0" applyProtection="0"/>
    <xf numFmtId="0" fontId="14" fillId="0" borderId="16" applyNumberFormat="0" applyFill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11" borderId="7" applyNumberFormat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1" fillId="26" borderId="6" applyNumberFormat="0" applyAlignment="0" applyProtection="0"/>
    <xf numFmtId="0" fontId="14" fillId="0" borderId="0" applyNumberFormat="0" applyFill="0" applyBorder="0" applyAlignment="0" applyProtection="0"/>
    <xf numFmtId="0" fontId="5" fillId="9" borderId="21" applyNumberFormat="0" applyFont="0" applyAlignment="0" applyProtection="0"/>
    <xf numFmtId="0" fontId="8" fillId="26" borderId="7" applyNumberFormat="0" applyAlignment="0" applyProtection="0"/>
    <xf numFmtId="0" fontId="9" fillId="28" borderId="8" applyNumberFormat="0" applyAlignment="0" applyProtection="0"/>
    <xf numFmtId="0" fontId="7" fillId="6" borderId="0" applyNumberFormat="0" applyBorder="0" applyAlignment="0" applyProtection="0"/>
    <xf numFmtId="0" fontId="17" fillId="0" borderId="9" applyNumberFormat="0" applyFill="0" applyAlignment="0" applyProtection="0"/>
    <xf numFmtId="0" fontId="21" fillId="26" borderId="6" applyNumberFormat="0" applyAlignment="0" applyProtection="0"/>
    <xf numFmtId="0" fontId="12" fillId="0" borderId="14" applyNumberFormat="0" applyFill="0" applyAlignment="0" applyProtection="0"/>
    <xf numFmtId="0" fontId="17" fillId="0" borderId="9" applyNumberFormat="0" applyFill="0" applyAlignment="0" applyProtection="0"/>
    <xf numFmtId="0" fontId="5" fillId="9" borderId="21" applyNumberFormat="0" applyFont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18" fillId="14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1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5" fillId="5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16" fillId="11" borderId="7" applyNumberFormat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7" borderId="0" applyNumberFormat="0" applyBorder="0" applyAlignment="0" applyProtection="0"/>
    <xf numFmtId="0" fontId="16" fillId="11" borderId="7" applyNumberFormat="0" applyAlignment="0" applyProtection="0"/>
    <xf numFmtId="0" fontId="18" fillId="14" borderId="0" applyNumberFormat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7" fillId="6" borderId="0" applyNumberFormat="0" applyBorder="0" applyAlignment="0" applyProtection="0"/>
    <xf numFmtId="0" fontId="12" fillId="0" borderId="14" applyNumberFormat="0" applyFill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10" fillId="0" borderId="0" applyNumberFormat="0" applyFill="0" applyBorder="0" applyAlignment="0" applyProtection="0"/>
    <xf numFmtId="0" fontId="8" fillId="26" borderId="7" applyNumberFormat="0" applyAlignment="0" applyProtection="0"/>
    <xf numFmtId="0" fontId="9" fillId="28" borderId="8" applyNumberFormat="0" applyAlignment="0" applyProtection="0"/>
    <xf numFmtId="0" fontId="11" fillId="8" borderId="0" applyNumberFormat="0" applyBorder="0" applyAlignment="0" applyProtection="0"/>
    <xf numFmtId="0" fontId="7" fillId="6" borderId="0" applyNumberFormat="0" applyBorder="0" applyAlignment="0" applyProtection="0"/>
    <xf numFmtId="0" fontId="11" fillId="8" borderId="0" applyNumberFormat="0" applyBorder="0" applyAlignment="0" applyProtection="0"/>
    <xf numFmtId="0" fontId="10" fillId="0" borderId="0" applyNumberFormat="0" applyFill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10" fillId="0" borderId="0" applyNumberFormat="0" applyFill="0" applyBorder="0" applyAlignment="0" applyProtection="0"/>
    <xf numFmtId="0" fontId="6" fillId="23" borderId="0" applyNumberFormat="0" applyBorder="0" applyAlignment="0" applyProtection="0"/>
    <xf numFmtId="0" fontId="11" fillId="8" borderId="0" applyNumberFormat="0" applyBorder="0" applyAlignment="0" applyProtection="0"/>
    <xf numFmtId="0" fontId="6" fillId="21" borderId="0" applyNumberFormat="0" applyBorder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16" fillId="11" borderId="7" applyNumberFormat="0" applyAlignment="0" applyProtection="0"/>
    <xf numFmtId="0" fontId="17" fillId="0" borderId="9" applyNumberFormat="0" applyFill="0" applyAlignment="0" applyProtection="0"/>
    <xf numFmtId="0" fontId="12" fillId="0" borderId="14" applyNumberFormat="0" applyFill="0" applyAlignment="0" applyProtection="0"/>
    <xf numFmtId="0" fontId="5" fillId="9" borderId="21" applyNumberFormat="0" applyFont="0" applyAlignment="0" applyProtection="0"/>
    <xf numFmtId="0" fontId="13" fillId="0" borderId="15" applyNumberFormat="0" applyFill="0" applyAlignment="0" applyProtection="0"/>
    <xf numFmtId="0" fontId="14" fillId="0" borderId="16" applyNumberFormat="0" applyFill="0" applyAlignment="0" applyProtection="0"/>
    <xf numFmtId="0" fontId="10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21" fillId="26" borderId="6" applyNumberFormat="0" applyAlignment="0" applyProtection="0"/>
    <xf numFmtId="0" fontId="11" fillId="8" borderId="0" applyNumberFormat="0" applyBorder="0" applyAlignment="0" applyProtection="0"/>
    <xf numFmtId="0" fontId="17" fillId="0" borderId="9" applyNumberFormat="0" applyFill="0" applyAlignment="0" applyProtection="0"/>
    <xf numFmtId="0" fontId="18" fillId="14" borderId="0" applyNumberFormat="0" applyBorder="0" applyAlignment="0" applyProtection="0"/>
    <xf numFmtId="0" fontId="16" fillId="11" borderId="7" applyNumberFormat="0" applyAlignment="0" applyProtection="0"/>
    <xf numFmtId="0" fontId="12" fillId="0" borderId="14" applyNumberFormat="0" applyFill="0" applyAlignment="0" applyProtection="0"/>
    <xf numFmtId="0" fontId="13" fillId="0" borderId="15" applyNumberFormat="0" applyFill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18" fillId="14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14" fillId="0" borderId="16" applyNumberFormat="0" applyFill="0" applyAlignment="0" applyProtection="0"/>
    <xf numFmtId="0" fontId="14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6" fillId="11" borderId="7" applyNumberFormat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5" fillId="9" borderId="21" applyNumberFormat="0" applyFont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21" fillId="26" borderId="6" applyNumberFormat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7" fillId="6" borderId="0" applyNumberFormat="0" applyBorder="0" applyAlignment="0" applyProtection="0"/>
    <xf numFmtId="0" fontId="16" fillId="11" borderId="7" applyNumberFormat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17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16" fillId="11" borderId="7" applyNumberFormat="0" applyAlignment="0" applyProtection="0"/>
    <xf numFmtId="0" fontId="14" fillId="0" borderId="0" applyNumberFormat="0" applyFill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12" fillId="0" borderId="14" applyNumberFormat="0" applyFill="0" applyAlignment="0" applyProtection="0"/>
    <xf numFmtId="0" fontId="16" fillId="11" borderId="7" applyNumberFormat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18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14" fillId="0" borderId="0" applyNumberFormat="0" applyFill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12" fillId="0" borderId="14" applyNumberFormat="0" applyFill="0" applyAlignment="0" applyProtection="0"/>
    <xf numFmtId="0" fontId="18" fillId="14" borderId="0" applyNumberFormat="0" applyBorder="0" applyAlignment="0" applyProtection="0"/>
    <xf numFmtId="0" fontId="11" fillId="8" borderId="0" applyNumberFormat="0" applyBorder="0" applyAlignment="0" applyProtection="0"/>
    <xf numFmtId="0" fontId="18" fillId="14" borderId="0" applyNumberFormat="0" applyBorder="0" applyAlignment="0" applyProtection="0"/>
    <xf numFmtId="0" fontId="11" fillId="8" borderId="0" applyNumberFormat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12" fillId="0" borderId="14" applyNumberFormat="0" applyFill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5" fillId="6" borderId="0" applyNumberFormat="0" applyBorder="0" applyAlignment="0" applyProtection="0"/>
    <xf numFmtId="0" fontId="25" fillId="0" borderId="0" applyNumberFormat="0" applyFill="0" applyBorder="0" applyAlignment="0" applyProtection="0"/>
    <xf numFmtId="0" fontId="5" fillId="4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5" fillId="9" borderId="21" applyNumberFormat="0" applyFont="0" applyAlignment="0" applyProtection="0"/>
    <xf numFmtId="0" fontId="13" fillId="0" borderId="15" applyNumberFormat="0" applyFill="0" applyAlignment="0" applyProtection="0"/>
    <xf numFmtId="0" fontId="21" fillId="26" borderId="6" applyNumberFormat="0" applyAlignment="0" applyProtection="0"/>
    <xf numFmtId="0" fontId="6" fillId="18" borderId="0" applyNumberFormat="0" applyBorder="0" applyAlignment="0" applyProtection="0"/>
    <xf numFmtId="0" fontId="17" fillId="0" borderId="9" applyNumberFormat="0" applyFill="0" applyAlignment="0" applyProtection="0"/>
    <xf numFmtId="0" fontId="16" fillId="11" borderId="7" applyNumberFormat="0" applyAlignment="0" applyProtection="0"/>
    <xf numFmtId="0" fontId="18" fillId="14" borderId="0" applyNumberFormat="0" applyBorder="0" applyAlignment="0" applyProtection="0"/>
    <xf numFmtId="0" fontId="14" fillId="0" borderId="0" applyNumberFormat="0" applyFill="0" applyBorder="0" applyAlignment="0" applyProtection="0"/>
    <xf numFmtId="0" fontId="14" fillId="0" borderId="16" applyNumberFormat="0" applyFill="0" applyAlignment="0" applyProtection="0"/>
    <xf numFmtId="0" fontId="13" fillId="0" borderId="15" applyNumberFormat="0" applyFill="0" applyAlignment="0" applyProtection="0"/>
    <xf numFmtId="0" fontId="12" fillId="0" borderId="14" applyNumberFormat="0" applyFill="0" applyAlignment="0" applyProtection="0"/>
    <xf numFmtId="0" fontId="6" fillId="19" borderId="0" applyNumberFormat="0" applyBorder="0" applyAlignment="0" applyProtection="0"/>
    <xf numFmtId="0" fontId="18" fillId="14" borderId="0" applyNumberFormat="0" applyBorder="0" applyAlignment="0" applyProtection="0"/>
    <xf numFmtId="0" fontId="6" fillId="24" borderId="0" applyNumberFormat="0" applyBorder="0" applyAlignment="0" applyProtection="0"/>
    <xf numFmtId="0" fontId="11" fillId="8" borderId="0" applyNumberFormat="0" applyBorder="0" applyAlignment="0" applyProtection="0"/>
    <xf numFmtId="0" fontId="6" fillId="23" borderId="0" applyNumberFormat="0" applyBorder="0" applyAlignment="0" applyProtection="0"/>
    <xf numFmtId="0" fontId="10" fillId="0" borderId="0" applyNumberFormat="0" applyFill="0" applyBorder="0" applyAlignment="0" applyProtection="0"/>
    <xf numFmtId="0" fontId="6" fillId="21" borderId="0" applyNumberFormat="0" applyBorder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5" fillId="9" borderId="21" applyNumberFormat="0" applyFont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5" fillId="9" borderId="21" applyNumberFormat="0" applyFont="0" applyAlignment="0" applyProtection="0"/>
    <xf numFmtId="0" fontId="5" fillId="9" borderId="21" applyNumberFormat="0" applyFon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5" fillId="9" borderId="21" applyNumberFormat="0" applyFont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1" fillId="8" borderId="0" applyNumberFormat="0" applyBorder="0" applyAlignment="0" applyProtection="0"/>
    <xf numFmtId="0" fontId="18" fillId="14" borderId="0" applyNumberFormat="0" applyBorder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1" fillId="26" borderId="6" applyNumberFormat="0" applyAlignment="0" applyProtection="0"/>
    <xf numFmtId="0" fontId="21" fillId="26" borderId="6" applyNumberFormat="0" applyAlignment="0" applyProtection="0"/>
    <xf numFmtId="0" fontId="10" fillId="0" borderId="0" applyNumberFormat="0" applyFill="0" applyBorder="0" applyAlignment="0" applyProtection="0"/>
    <xf numFmtId="0" fontId="7" fillId="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5" fillId="9" borderId="21" applyNumberFormat="0" applyFont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1" fillId="26" borderId="6" applyNumberFormat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7" fillId="6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5" fillId="10" borderId="0" applyNumberFormat="0" applyBorder="0" applyAlignment="0" applyProtection="0"/>
    <xf numFmtId="0" fontId="25" fillId="0" borderId="0" applyNumberFormat="0" applyFill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21" applyNumberFormat="0" applyFont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6" fillId="21" borderId="0" applyNumberFormat="0" applyBorder="0" applyAlignment="0" applyProtection="0"/>
    <xf numFmtId="0" fontId="25" fillId="0" borderId="0" applyNumberFormat="0" applyFill="0" applyBorder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25" fillId="0" borderId="0" applyNumberFormat="0" applyFill="0" applyBorder="0" applyAlignment="0" applyProtection="0"/>
    <xf numFmtId="0" fontId="21" fillId="26" borderId="6" applyNumberFormat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7" fillId="6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16" fillId="11" borderId="7" applyNumberFormat="0" applyAlignment="0" applyProtection="0"/>
    <xf numFmtId="0" fontId="12" fillId="0" borderId="14" applyNumberFormat="0" applyFill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11" fillId="8" borderId="0" applyNumberFormat="0" applyBorder="0" applyAlignment="0" applyProtection="0"/>
    <xf numFmtId="0" fontId="10" fillId="0" borderId="0" applyNumberFormat="0" applyFill="0" applyBorder="0" applyAlignment="0" applyProtection="0"/>
    <xf numFmtId="0" fontId="5" fillId="9" borderId="21" applyNumberFormat="0" applyFont="0" applyAlignment="0" applyProtection="0"/>
    <xf numFmtId="0" fontId="11" fillId="8" borderId="0" applyNumberFormat="0" applyBorder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1" fillId="26" borderId="6" applyNumberFormat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21" applyNumberFormat="0" applyFont="0" applyAlignment="0" applyProtection="0"/>
    <xf numFmtId="0" fontId="7" fillId="6" borderId="0" applyNumberFormat="0" applyBorder="0" applyAlignment="0" applyProtection="0"/>
    <xf numFmtId="0" fontId="10" fillId="0" borderId="0" applyNumberFormat="0" applyFill="0" applyBorder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1" fillId="26" borderId="6" applyNumberFormat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7" fillId="6" borderId="0" applyNumberFormat="0" applyBorder="0" applyAlignment="0" applyProtection="0"/>
    <xf numFmtId="0" fontId="6" fillId="17" borderId="0" applyNumberFormat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2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5" fillId="9" borderId="21" applyNumberFormat="0" applyFont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1" fillId="26" borderId="6" applyNumberFormat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7" fillId="6" borderId="0" applyNumberFormat="0" applyBorder="0" applyAlignment="0" applyProtection="0"/>
    <xf numFmtId="0" fontId="9" fillId="28" borderId="8" applyNumberFormat="0" applyAlignment="0" applyProtection="0"/>
    <xf numFmtId="0" fontId="8" fillId="26" borderId="7" applyNumberFormat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5" fillId="15" borderId="0" applyNumberFormat="0" applyBorder="0" applyAlignment="0" applyProtection="0"/>
    <xf numFmtId="0" fontId="18" fillId="14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6" fillId="18" borderId="0" applyNumberFormat="0" applyBorder="0" applyAlignment="0" applyProtection="0"/>
    <xf numFmtId="0" fontId="25" fillId="0" borderId="0" applyNumberFormat="0" applyFill="0" applyBorder="0" applyAlignment="0" applyProtection="0"/>
    <xf numFmtId="0" fontId="6" fillId="24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17" fillId="0" borderId="9" applyNumberFormat="0" applyFill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6" fillId="20" borderId="0" applyNumberFormat="0" applyBorder="0" applyAlignment="0" applyProtection="0"/>
    <xf numFmtId="0" fontId="6" fillId="19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7" borderId="0" applyNumberFormat="0" applyBorder="0" applyAlignment="0" applyProtection="0"/>
    <xf numFmtId="0" fontId="6" fillId="16" borderId="0" applyNumberFormat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1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18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22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16" fillId="11" borderId="7" applyNumberFormat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16" fillId="11" borderId="7" applyNumberFormat="0" applyAlignment="0" applyProtection="0"/>
    <xf numFmtId="0" fontId="14" fillId="0" borderId="16" applyNumberFormat="0" applyFill="0" applyAlignment="0" applyProtection="0"/>
  </cellStyleXfs>
  <cellXfs count="229">
    <xf numFmtId="0" fontId="0" fillId="0" borderId="0" xfId="0"/>
    <xf numFmtId="0" fontId="28" fillId="0" borderId="0" xfId="1" applyFont="1" applyAlignment="1">
      <alignment vertical="center"/>
    </xf>
    <xf numFmtId="0" fontId="29" fillId="0" borderId="0" xfId="1" applyFont="1" applyAlignment="1">
      <alignment vertical="center"/>
    </xf>
    <xf numFmtId="0" fontId="29" fillId="0" borderId="0" xfId="1" applyFont="1"/>
    <xf numFmtId="0" fontId="2" fillId="0" borderId="0" xfId="2849"/>
    <xf numFmtId="166" fontId="31" fillId="0" borderId="0" xfId="1878" applyNumberFormat="1" applyFont="1" applyBorder="1">
      <alignment vertical="center"/>
    </xf>
    <xf numFmtId="170" fontId="20" fillId="0" borderId="0" xfId="1" applyNumberFormat="1" applyFont="1" applyAlignment="1">
      <alignment vertical="center"/>
    </xf>
    <xf numFmtId="167" fontId="20" fillId="0" borderId="0" xfId="1" applyNumberFormat="1" applyFont="1" applyAlignment="1">
      <alignment vertical="center"/>
    </xf>
    <xf numFmtId="0" fontId="20" fillId="0" borderId="0" xfId="1" applyFont="1" applyAlignment="1">
      <alignment vertical="center"/>
    </xf>
    <xf numFmtId="0" fontId="32" fillId="0" borderId="0" xfId="1" applyFont="1" applyAlignment="1">
      <alignment vertical="center"/>
    </xf>
    <xf numFmtId="0" fontId="31" fillId="0" borderId="0" xfId="1" applyFont="1" applyAlignment="1">
      <alignment horizontal="right"/>
    </xf>
    <xf numFmtId="166" fontId="31" fillId="0" borderId="0" xfId="1878" applyNumberFormat="1" applyFont="1">
      <alignment vertical="center"/>
    </xf>
    <xf numFmtId="0" fontId="32" fillId="0" borderId="0" xfId="1" applyFont="1" applyAlignment="1">
      <alignment horizontal="right" vertical="center"/>
    </xf>
    <xf numFmtId="166" fontId="32" fillId="0" borderId="0" xfId="1878" applyNumberFormat="1" applyFont="1">
      <alignment vertical="center"/>
    </xf>
    <xf numFmtId="0" fontId="34" fillId="0" borderId="0" xfId="1" applyFont="1" applyBorder="1" applyAlignment="1">
      <alignment vertical="center"/>
    </xf>
    <xf numFmtId="0" fontId="32" fillId="0" borderId="0" xfId="1" applyFont="1" applyBorder="1" applyAlignment="1">
      <alignment horizontal="right" vertical="center"/>
    </xf>
    <xf numFmtId="0" fontId="34" fillId="0" borderId="0" xfId="1" applyFont="1" applyFill="1" applyBorder="1" applyAlignment="1">
      <alignment vertical="center"/>
    </xf>
    <xf numFmtId="0" fontId="34" fillId="0" borderId="0" xfId="1" applyFont="1" applyAlignment="1">
      <alignment vertical="center"/>
    </xf>
    <xf numFmtId="166" fontId="34" fillId="0" borderId="0" xfId="1878" applyNumberFormat="1" applyFont="1" applyBorder="1">
      <alignment vertical="center"/>
    </xf>
    <xf numFmtId="49" fontId="34" fillId="0" borderId="0" xfId="1" applyNumberFormat="1" applyFont="1" applyFill="1" applyBorder="1" applyAlignment="1">
      <alignment vertical="center"/>
    </xf>
    <xf numFmtId="0" fontId="33" fillId="0" borderId="0" xfId="3231" applyFont="1" applyBorder="1" applyAlignment="1">
      <alignment vertical="center"/>
    </xf>
    <xf numFmtId="0" fontId="32" fillId="0" borderId="0" xfId="1" applyFont="1" applyAlignment="1">
      <alignment horizontal="right"/>
    </xf>
    <xf numFmtId="0" fontId="34" fillId="0" borderId="0" xfId="1" applyFont="1"/>
    <xf numFmtId="166" fontId="34" fillId="0" borderId="0" xfId="1878" applyNumberFormat="1" applyFont="1">
      <alignment vertical="center"/>
    </xf>
    <xf numFmtId="49" fontId="34" fillId="0" borderId="0" xfId="1" applyNumberFormat="1" applyFont="1" applyAlignment="1">
      <alignment vertical="center"/>
    </xf>
    <xf numFmtId="0" fontId="36" fillId="0" borderId="0" xfId="3231" applyFont="1" applyBorder="1" applyAlignment="1">
      <alignment vertical="center"/>
    </xf>
    <xf numFmtId="0" fontId="37" fillId="0" borderId="0" xfId="1" applyFont="1" applyAlignment="1">
      <alignment vertical="center"/>
    </xf>
    <xf numFmtId="49" fontId="38" fillId="0" borderId="0" xfId="1" applyNumberFormat="1" applyFont="1" applyBorder="1" applyAlignment="1">
      <alignment horizontal="center" vertical="center" wrapText="1"/>
    </xf>
    <xf numFmtId="168" fontId="38" fillId="0" borderId="0" xfId="1" applyNumberFormat="1" applyFont="1" applyAlignment="1">
      <alignment horizontal="center" vertical="center" wrapText="1"/>
    </xf>
    <xf numFmtId="170" fontId="38" fillId="0" borderId="0" xfId="1" applyNumberFormat="1" applyFont="1" applyAlignment="1">
      <alignment horizontal="center" vertical="center" wrapText="1"/>
    </xf>
    <xf numFmtId="167" fontId="38" fillId="0" borderId="0" xfId="1" applyNumberFormat="1" applyFont="1" applyAlignment="1">
      <alignment horizontal="center" vertical="center" wrapText="1"/>
    </xf>
    <xf numFmtId="0" fontId="38" fillId="0" borderId="0" xfId="1" applyFont="1" applyAlignment="1">
      <alignment vertical="center" wrapText="1"/>
    </xf>
    <xf numFmtId="0" fontId="31" fillId="0" borderId="0" xfId="1" applyFont="1" applyAlignment="1">
      <alignment vertical="center" wrapText="1"/>
    </xf>
    <xf numFmtId="0" fontId="39" fillId="0" borderId="0" xfId="3230" applyFont="1" applyAlignment="1">
      <alignment vertical="center" wrapText="1"/>
    </xf>
    <xf numFmtId="0" fontId="40" fillId="0" borderId="0" xfId="3230" applyFont="1" applyAlignment="1">
      <alignment vertical="center" wrapText="1"/>
    </xf>
    <xf numFmtId="0" fontId="2" fillId="0" borderId="0" xfId="3233" applyAlignment="1">
      <alignment vertical="center" wrapText="1"/>
    </xf>
    <xf numFmtId="0" fontId="31" fillId="0" borderId="0" xfId="3233" applyFont="1" applyAlignment="1">
      <alignment vertical="center" wrapText="1"/>
    </xf>
    <xf numFmtId="0" fontId="20" fillId="0" borderId="0" xfId="3230" applyAlignment="1">
      <alignment horizontal="center" vertical="center" wrapText="1"/>
    </xf>
    <xf numFmtId="0" fontId="20" fillId="0" borderId="0" xfId="3230">
      <alignment vertical="center"/>
    </xf>
    <xf numFmtId="0" fontId="5" fillId="0" borderId="0" xfId="3232" applyAlignment="1">
      <alignment vertical="center" wrapText="1"/>
    </xf>
    <xf numFmtId="49" fontId="37" fillId="0" borderId="0" xfId="1" applyNumberFormat="1" applyFont="1" applyFill="1" applyBorder="1" applyAlignment="1" applyProtection="1">
      <alignment horizontal="left" vertical="center" wrapText="1"/>
    </xf>
    <xf numFmtId="167" fontId="37" fillId="0" borderId="0" xfId="1" applyNumberFormat="1" applyFont="1" applyAlignment="1">
      <alignment vertical="center"/>
    </xf>
    <xf numFmtId="0" fontId="31" fillId="0" borderId="0" xfId="1" applyFont="1" applyAlignment="1">
      <alignment vertical="center"/>
    </xf>
    <xf numFmtId="49" fontId="37" fillId="0" borderId="0" xfId="1" applyNumberFormat="1" applyFont="1" applyAlignment="1">
      <alignment vertical="center"/>
    </xf>
    <xf numFmtId="169" fontId="38" fillId="0" borderId="0" xfId="1" applyNumberFormat="1" applyFont="1" applyAlignment="1">
      <alignment horizontal="center" vertical="center" wrapText="1"/>
    </xf>
    <xf numFmtId="0" fontId="37" fillId="0" borderId="0" xfId="1" applyFont="1"/>
    <xf numFmtId="0" fontId="19" fillId="0" borderId="0" xfId="1" applyFont="1"/>
    <xf numFmtId="166" fontId="20" fillId="0" borderId="0" xfId="1877" applyNumberFormat="1" applyFont="1">
      <alignment vertical="center"/>
    </xf>
    <xf numFmtId="49" fontId="20" fillId="0" borderId="0" xfId="1" applyNumberFormat="1" applyFont="1" applyAlignment="1">
      <alignment vertical="center"/>
    </xf>
    <xf numFmtId="0" fontId="20" fillId="0" borderId="0" xfId="3230" applyFont="1">
      <alignment vertical="center"/>
    </xf>
    <xf numFmtId="167" fontId="37" fillId="0" borderId="0" xfId="1" applyNumberFormat="1" applyFont="1" applyFill="1" applyBorder="1" applyAlignment="1">
      <alignment horizontal="left" vertical="center"/>
    </xf>
    <xf numFmtId="0" fontId="41" fillId="0" borderId="0" xfId="1" applyFont="1" applyAlignment="1">
      <alignment vertical="center" wrapText="1"/>
    </xf>
    <xf numFmtId="0" fontId="35" fillId="0" borderId="33" xfId="1" applyFont="1" applyFill="1" applyBorder="1" applyAlignment="1">
      <alignment horizontal="left" vertical="center"/>
    </xf>
    <xf numFmtId="0" fontId="35" fillId="0" borderId="13" xfId="1" applyFont="1" applyFill="1" applyBorder="1" applyAlignment="1">
      <alignment horizontal="center" vertical="center"/>
    </xf>
    <xf numFmtId="0" fontId="35" fillId="0" borderId="34" xfId="1" applyFont="1" applyFill="1" applyBorder="1" applyAlignment="1">
      <alignment horizontal="center" vertical="center"/>
    </xf>
    <xf numFmtId="0" fontId="38" fillId="35" borderId="35" xfId="1" applyFont="1" applyFill="1" applyBorder="1" applyAlignment="1">
      <alignment horizontal="left" vertical="center"/>
    </xf>
    <xf numFmtId="0" fontId="42" fillId="35" borderId="25" xfId="1" applyFont="1" applyFill="1" applyBorder="1" applyAlignment="1">
      <alignment horizontal="left" vertical="center" wrapText="1"/>
    </xf>
    <xf numFmtId="0" fontId="42" fillId="35" borderId="24" xfId="1" applyFont="1" applyFill="1" applyBorder="1" applyAlignment="1">
      <alignment horizontal="left" vertical="center" wrapText="1"/>
    </xf>
    <xf numFmtId="0" fontId="42" fillId="35" borderId="36" xfId="1" applyFont="1" applyFill="1" applyBorder="1" applyAlignment="1">
      <alignment horizontal="left" vertical="center" wrapText="1"/>
    </xf>
    <xf numFmtId="0" fontId="42" fillId="35" borderId="5" xfId="1" applyFont="1" applyFill="1" applyBorder="1" applyAlignment="1">
      <alignment horizontal="left" vertical="center" wrapText="1"/>
    </xf>
    <xf numFmtId="0" fontId="42" fillId="35" borderId="37" xfId="1" applyFont="1" applyFill="1" applyBorder="1" applyAlignment="1">
      <alignment horizontal="left" vertical="center" wrapText="1"/>
    </xf>
    <xf numFmtId="0" fontId="3" fillId="0" borderId="36" xfId="3231" applyFill="1" applyBorder="1" applyAlignment="1">
      <alignment horizontal="left" vertical="center" wrapText="1"/>
    </xf>
    <xf numFmtId="0" fontId="3" fillId="0" borderId="5" xfId="3231" applyFill="1" applyBorder="1" applyAlignment="1">
      <alignment horizontal="left" vertical="center" wrapText="1"/>
    </xf>
    <xf numFmtId="0" fontId="3" fillId="0" borderId="37" xfId="3231" applyFill="1" applyBorder="1" applyAlignment="1">
      <alignment horizontal="left" vertical="center" wrapText="1"/>
    </xf>
    <xf numFmtId="0" fontId="37" fillId="35" borderId="5" xfId="1" applyFont="1" applyFill="1" applyBorder="1" applyAlignment="1">
      <alignment horizontal="left" vertical="center" wrapText="1"/>
    </xf>
    <xf numFmtId="0" fontId="38" fillId="35" borderId="35" xfId="1" applyFont="1" applyFill="1" applyBorder="1" applyAlignment="1">
      <alignment vertical="center"/>
    </xf>
    <xf numFmtId="0" fontId="42" fillId="35" borderId="25" xfId="1" applyFont="1" applyFill="1" applyBorder="1" applyAlignment="1">
      <alignment vertical="center" wrapText="1"/>
    </xf>
    <xf numFmtId="0" fontId="42" fillId="35" borderId="24" xfId="1" applyFont="1" applyFill="1" applyBorder="1" applyAlignment="1">
      <alignment vertical="center" wrapText="1"/>
    </xf>
    <xf numFmtId="0" fontId="38" fillId="35" borderId="4" xfId="1" applyFont="1" applyFill="1" applyBorder="1" applyAlignment="1">
      <alignment horizontal="left" vertical="center"/>
    </xf>
    <xf numFmtId="0" fontId="42" fillId="35" borderId="0" xfId="1" applyFont="1" applyFill="1" applyBorder="1" applyAlignment="1">
      <alignment vertical="center" wrapText="1"/>
    </xf>
    <xf numFmtId="0" fontId="42" fillId="35" borderId="26" xfId="1" applyFont="1" applyFill="1" applyBorder="1" applyAlignment="1">
      <alignment vertical="center" wrapText="1"/>
    </xf>
    <xf numFmtId="0" fontId="42" fillId="35" borderId="4" xfId="1" applyFont="1" applyFill="1" applyBorder="1" applyAlignment="1">
      <alignment vertical="center" wrapText="1"/>
    </xf>
    <xf numFmtId="0" fontId="42" fillId="35" borderId="36" xfId="1" applyFont="1" applyFill="1" applyBorder="1" applyAlignment="1">
      <alignment vertical="center" wrapText="1"/>
    </xf>
    <xf numFmtId="0" fontId="42" fillId="35" borderId="5" xfId="1" applyFont="1" applyFill="1" applyBorder="1" applyAlignment="1">
      <alignment vertical="center" wrapText="1"/>
    </xf>
    <xf numFmtId="166" fontId="32" fillId="0" borderId="0" xfId="1878" applyNumberFormat="1" applyFont="1" applyAlignment="1">
      <alignment horizontal="left"/>
    </xf>
    <xf numFmtId="0" fontId="30" fillId="0" borderId="0" xfId="1" applyFont="1" applyAlignment="1">
      <alignment horizontal="right" vertical="center"/>
    </xf>
    <xf numFmtId="0" fontId="45" fillId="0" borderId="0" xfId="0" applyFont="1" applyAlignment="1">
      <alignment wrapText="1"/>
    </xf>
    <xf numFmtId="0" fontId="32" fillId="50" borderId="0" xfId="0" applyFont="1" applyFill="1" applyAlignment="1">
      <alignment horizontal="left" vertical="center"/>
    </xf>
    <xf numFmtId="0" fontId="0" fillId="50" borderId="0" xfId="0" applyFill="1"/>
    <xf numFmtId="0" fontId="34" fillId="50" borderId="0" xfId="1" applyFont="1" applyFill="1"/>
    <xf numFmtId="0" fontId="32" fillId="50" borderId="0" xfId="1" applyFont="1" applyFill="1" applyAlignment="1">
      <alignment horizontal="right"/>
    </xf>
    <xf numFmtId="0" fontId="34" fillId="50" borderId="0" xfId="1" applyFont="1" applyFill="1" applyAlignment="1">
      <alignment vertical="center"/>
    </xf>
    <xf numFmtId="0" fontId="37" fillId="0" borderId="10" xfId="1" applyFont="1" applyBorder="1" applyAlignment="1">
      <alignment vertical="center"/>
    </xf>
    <xf numFmtId="0" fontId="37" fillId="0" borderId="10" xfId="1" applyFont="1" applyBorder="1"/>
    <xf numFmtId="166" fontId="37" fillId="0" borderId="10" xfId="1878" applyNumberFormat="1" applyFont="1" applyBorder="1">
      <alignment vertical="center"/>
    </xf>
    <xf numFmtId="166" fontId="37" fillId="0" borderId="35" xfId="1878" applyNumberFormat="1" applyFont="1" applyBorder="1">
      <alignment vertical="center"/>
    </xf>
    <xf numFmtId="0" fontId="35" fillId="52" borderId="3" xfId="0" applyFont="1" applyFill="1" applyBorder="1" applyAlignment="1">
      <alignment horizontal="center" vertical="center" wrapText="1"/>
    </xf>
    <xf numFmtId="0" fontId="34" fillId="50" borderId="0" xfId="0" applyFont="1" applyFill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34" fillId="0" borderId="0" xfId="1" applyFont="1" applyAlignment="1">
      <alignment horizontal="right" vertical="center"/>
    </xf>
    <xf numFmtId="0" fontId="34" fillId="52" borderId="49" xfId="0" applyFont="1" applyFill="1" applyBorder="1" applyAlignment="1">
      <alignment horizontal="center" vertical="center"/>
    </xf>
    <xf numFmtId="167" fontId="34" fillId="0" borderId="49" xfId="0" applyNumberFormat="1" applyFont="1" applyBorder="1" applyAlignment="1">
      <alignment horizontal="center" vertical="center"/>
    </xf>
    <xf numFmtId="167" fontId="34" fillId="51" borderId="49" xfId="0" applyNumberFormat="1" applyFont="1" applyFill="1" applyBorder="1" applyAlignment="1">
      <alignment horizontal="center" vertical="center"/>
    </xf>
    <xf numFmtId="167" fontId="34" fillId="51" borderId="38" xfId="0" applyNumberFormat="1" applyFont="1" applyFill="1" applyBorder="1" applyAlignment="1">
      <alignment horizontal="center" vertical="center"/>
    </xf>
    <xf numFmtId="0" fontId="34" fillId="53" borderId="49" xfId="0" applyFont="1" applyFill="1" applyBorder="1" applyAlignment="1">
      <alignment horizontal="center" vertical="center"/>
    </xf>
    <xf numFmtId="0" fontId="34" fillId="53" borderId="49" xfId="0" applyFont="1" applyFill="1" applyBorder="1"/>
    <xf numFmtId="0" fontId="34" fillId="53" borderId="49" xfId="0" applyFont="1" applyFill="1" applyBorder="1" applyAlignment="1">
      <alignment horizontal="left" vertical="center" wrapText="1"/>
    </xf>
    <xf numFmtId="0" fontId="34" fillId="52" borderId="19" xfId="0" applyFont="1" applyFill="1" applyBorder="1" applyAlignment="1">
      <alignment horizontal="center" vertical="center"/>
    </xf>
    <xf numFmtId="0" fontId="34" fillId="53" borderId="19" xfId="0" applyFont="1" applyFill="1" applyBorder="1" applyAlignment="1">
      <alignment horizontal="center" vertical="center"/>
    </xf>
    <xf numFmtId="0" fontId="34" fillId="53" borderId="19" xfId="0" applyFont="1" applyFill="1" applyBorder="1"/>
    <xf numFmtId="0" fontId="34" fillId="53" borderId="19" xfId="0" applyFont="1" applyFill="1" applyBorder="1" applyAlignment="1">
      <alignment horizontal="left" vertical="center" wrapText="1"/>
    </xf>
    <xf numFmtId="167" fontId="34" fillId="51" borderId="19" xfId="0" applyNumberFormat="1" applyFont="1" applyFill="1" applyBorder="1" applyAlignment="1">
      <alignment horizontal="center" vertical="center"/>
    </xf>
    <xf numFmtId="167" fontId="34" fillId="0" borderId="19" xfId="0" applyNumberFormat="1" applyFont="1" applyBorder="1" applyAlignment="1">
      <alignment horizontal="center" vertical="center"/>
    </xf>
    <xf numFmtId="0" fontId="34" fillId="0" borderId="19" xfId="0" applyFont="1" applyBorder="1" applyAlignment="1">
      <alignment horizontal="left" vertical="center" wrapText="1"/>
    </xf>
    <xf numFmtId="0" fontId="34" fillId="0" borderId="19" xfId="0" applyFont="1" applyBorder="1" applyAlignment="1">
      <alignment horizontal="center" vertical="center"/>
    </xf>
    <xf numFmtId="0" fontId="0" fillId="0" borderId="19" xfId="0" applyBorder="1"/>
    <xf numFmtId="0" fontId="0" fillId="0" borderId="10" xfId="0" applyBorder="1"/>
    <xf numFmtId="0" fontId="34" fillId="51" borderId="19" xfId="0" applyFont="1" applyFill="1" applyBorder="1" applyAlignment="1">
      <alignment horizontal="center" vertical="center"/>
    </xf>
    <xf numFmtId="167" fontId="34" fillId="54" borderId="19" xfId="0" applyNumberFormat="1" applyFont="1" applyFill="1" applyBorder="1" applyAlignment="1">
      <alignment horizontal="center" vertical="center"/>
    </xf>
    <xf numFmtId="0" fontId="32" fillId="54" borderId="19" xfId="0" applyFont="1" applyFill="1" applyBorder="1" applyAlignment="1">
      <alignment horizontal="center" vertical="center" wrapText="1"/>
    </xf>
    <xf numFmtId="0" fontId="32" fillId="0" borderId="37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 wrapText="1"/>
    </xf>
    <xf numFmtId="0" fontId="32" fillId="54" borderId="34" xfId="0" applyFont="1" applyFill="1" applyBorder="1" applyAlignment="1">
      <alignment horizontal="center" vertical="center" wrapText="1"/>
    </xf>
    <xf numFmtId="0" fontId="3" fillId="50" borderId="32" xfId="3231" applyFill="1" applyBorder="1" applyAlignment="1">
      <alignment vertical="center" wrapText="1"/>
    </xf>
    <xf numFmtId="166" fontId="37" fillId="50" borderId="32" xfId="1878" applyNumberFormat="1" applyFont="1" applyFill="1" applyBorder="1">
      <alignment vertical="center"/>
    </xf>
    <xf numFmtId="0" fontId="3" fillId="50" borderId="32" xfId="3231" applyFill="1" applyBorder="1" applyAlignment="1">
      <alignment vertical="center"/>
    </xf>
    <xf numFmtId="0" fontId="2" fillId="50" borderId="0" xfId="2849" applyFill="1"/>
    <xf numFmtId="0" fontId="35" fillId="0" borderId="35" xfId="1" applyFont="1" applyFill="1" applyBorder="1" applyAlignment="1">
      <alignment horizontal="left" vertical="center"/>
    </xf>
    <xf numFmtId="0" fontId="35" fillId="0" borderId="25" xfId="1" applyFont="1" applyFill="1" applyBorder="1" applyAlignment="1">
      <alignment horizontal="center" vertical="center"/>
    </xf>
    <xf numFmtId="0" fontId="35" fillId="0" borderId="24" xfId="1" applyFont="1" applyFill="1" applyBorder="1" applyAlignment="1">
      <alignment horizontal="center" vertical="center"/>
    </xf>
    <xf numFmtId="0" fontId="34" fillId="0" borderId="19" xfId="0" applyFont="1" applyBorder="1"/>
    <xf numFmtId="166" fontId="34" fillId="0" borderId="19" xfId="1877" applyNumberFormat="1" applyFont="1" applyBorder="1">
      <alignment vertical="center"/>
    </xf>
    <xf numFmtId="0" fontId="32" fillId="0" borderId="0" xfId="0" applyFont="1" applyAlignment="1">
      <alignment horizontal="center" vertical="center"/>
    </xf>
    <xf numFmtId="0" fontId="35" fillId="0" borderId="0" xfId="0" applyFont="1"/>
    <xf numFmtId="238" fontId="34" fillId="51" borderId="19" xfId="0" applyNumberFormat="1" applyFont="1" applyFill="1" applyBorder="1" applyAlignment="1">
      <alignment horizontal="center" vertical="center"/>
    </xf>
    <xf numFmtId="238" fontId="32" fillId="50" borderId="19" xfId="0" applyNumberFormat="1" applyFont="1" applyFill="1" applyBorder="1" applyAlignment="1">
      <alignment horizontal="center" vertical="center"/>
    </xf>
    <xf numFmtId="3" fontId="34" fillId="53" borderId="49" xfId="0" applyNumberFormat="1" applyFont="1" applyFill="1" applyBorder="1" applyAlignment="1">
      <alignment horizontal="center" vertical="center"/>
    </xf>
    <xf numFmtId="3" fontId="34" fillId="53" borderId="19" xfId="0" applyNumberFormat="1" applyFont="1" applyFill="1" applyBorder="1" applyAlignment="1">
      <alignment horizontal="center" vertical="center"/>
    </xf>
    <xf numFmtId="167" fontId="32" fillId="54" borderId="19" xfId="0" applyNumberFormat="1" applyFont="1" applyFill="1" applyBorder="1" applyAlignment="1">
      <alignment horizontal="center" vertical="center"/>
    </xf>
    <xf numFmtId="0" fontId="136" fillId="0" borderId="19" xfId="0" applyFont="1" applyBorder="1" applyAlignment="1">
      <alignment horizontal="left" vertical="center" wrapText="1"/>
    </xf>
    <xf numFmtId="166" fontId="132" fillId="0" borderId="0" xfId="1878" applyNumberFormat="1" applyFont="1" applyFill="1">
      <alignment vertical="center"/>
    </xf>
    <xf numFmtId="0" fontId="0" fillId="0" borderId="0" xfId="0"/>
    <xf numFmtId="0" fontId="32" fillId="0" borderId="0" xfId="0" applyFont="1" applyAlignment="1">
      <alignment horizontal="right" vertical="center"/>
    </xf>
    <xf numFmtId="0" fontId="32" fillId="0" borderId="0" xfId="1" applyFont="1" applyAlignment="1">
      <alignment horizontal="right" vertical="center"/>
    </xf>
    <xf numFmtId="0" fontId="0" fillId="50" borderId="0" xfId="0" applyFill="1"/>
    <xf numFmtId="0" fontId="34" fillId="0" borderId="19" xfId="0" applyFont="1" applyBorder="1"/>
    <xf numFmtId="173" fontId="139" fillId="50" borderId="0" xfId="0" applyNumberFormat="1" applyFont="1" applyFill="1" applyAlignment="1">
      <alignment horizontal="center" vertical="center"/>
    </xf>
    <xf numFmtId="3" fontId="139" fillId="50" borderId="0" xfId="0" applyNumberFormat="1" applyFont="1" applyFill="1" applyAlignment="1">
      <alignment horizontal="center" vertical="center"/>
    </xf>
    <xf numFmtId="0" fontId="137" fillId="0" borderId="49" xfId="0" applyFont="1" applyBorder="1" applyAlignment="1">
      <alignment horizontal="left" vertical="center" wrapText="1"/>
    </xf>
    <xf numFmtId="0" fontId="0" fillId="0" borderId="0" xfId="0" applyFill="1"/>
    <xf numFmtId="0" fontId="0" fillId="55" borderId="0" xfId="0" applyFill="1"/>
    <xf numFmtId="0" fontId="137" fillId="53" borderId="19" xfId="0" applyFont="1" applyFill="1" applyBorder="1" applyAlignment="1">
      <alignment horizontal="left" vertical="center" wrapText="1"/>
    </xf>
    <xf numFmtId="0" fontId="34" fillId="35" borderId="19" xfId="1" applyFont="1" applyFill="1" applyBorder="1" applyAlignment="1">
      <alignment horizontal="center" vertical="center"/>
    </xf>
    <xf numFmtId="0" fontId="137" fillId="35" borderId="19" xfId="1" applyFont="1" applyFill="1" applyBorder="1" applyAlignment="1">
      <alignment horizontal="center" vertical="center"/>
    </xf>
    <xf numFmtId="0" fontId="137" fillId="53" borderId="49" xfId="0" applyFont="1" applyFill="1" applyBorder="1" applyAlignment="1">
      <alignment horizontal="left" vertical="center" wrapText="1"/>
    </xf>
    <xf numFmtId="0" fontId="34" fillId="53" borderId="38" xfId="0" applyFont="1" applyFill="1" applyBorder="1" applyAlignment="1">
      <alignment horizontal="center" vertical="center"/>
    </xf>
    <xf numFmtId="0" fontId="34" fillId="53" borderId="50" xfId="0" applyFont="1" applyFill="1" applyBorder="1" applyAlignment="1">
      <alignment horizontal="center" vertical="center"/>
    </xf>
    <xf numFmtId="0" fontId="34" fillId="35" borderId="19" xfId="1" applyFont="1" applyFill="1" applyBorder="1" applyAlignment="1">
      <alignment horizontal="center" vertical="center" wrapText="1"/>
    </xf>
    <xf numFmtId="0" fontId="0" fillId="0" borderId="0" xfId="0"/>
    <xf numFmtId="0" fontId="28" fillId="0" borderId="0" xfId="1" applyFont="1" applyAlignment="1">
      <alignment vertical="center"/>
    </xf>
    <xf numFmtId="0" fontId="29" fillId="0" borderId="0" xfId="1" applyFont="1" applyAlignment="1">
      <alignment vertical="center"/>
    </xf>
    <xf numFmtId="0" fontId="29" fillId="0" borderId="0" xfId="1" applyFont="1"/>
    <xf numFmtId="0" fontId="2" fillId="0" borderId="0" xfId="2849"/>
    <xf numFmtId="0" fontId="32" fillId="0" borderId="0" xfId="1" applyFont="1" applyAlignment="1">
      <alignment vertical="center"/>
    </xf>
    <xf numFmtId="0" fontId="31" fillId="0" borderId="0" xfId="1" applyFont="1" applyAlignment="1">
      <alignment horizontal="right"/>
    </xf>
    <xf numFmtId="0" fontId="34" fillId="0" borderId="0" xfId="1" applyFont="1" applyBorder="1" applyAlignment="1">
      <alignment vertical="center"/>
    </xf>
    <xf numFmtId="0" fontId="32" fillId="0" borderId="0" xfId="1" applyFont="1" applyBorder="1" applyAlignment="1">
      <alignment horizontal="right" vertical="center"/>
    </xf>
    <xf numFmtId="0" fontId="34" fillId="0" borderId="0" xfId="1" applyFont="1" applyFill="1" applyBorder="1" applyAlignment="1">
      <alignment vertical="center"/>
    </xf>
    <xf numFmtId="0" fontId="34" fillId="0" borderId="0" xfId="1" applyFont="1" applyAlignment="1">
      <alignment vertical="center"/>
    </xf>
    <xf numFmtId="166" fontId="34" fillId="0" borderId="0" xfId="1878" applyNumberFormat="1" applyFont="1" applyBorder="1">
      <alignment vertical="center"/>
    </xf>
    <xf numFmtId="49" fontId="34" fillId="0" borderId="0" xfId="1" applyNumberFormat="1" applyFont="1" applyFill="1" applyBorder="1" applyAlignment="1">
      <alignment vertical="center"/>
    </xf>
    <xf numFmtId="0" fontId="33" fillId="0" borderId="0" xfId="3231" applyFont="1" applyBorder="1" applyAlignment="1">
      <alignment vertical="center"/>
    </xf>
    <xf numFmtId="0" fontId="32" fillId="0" borderId="0" xfId="1" applyFont="1" applyAlignment="1">
      <alignment horizontal="right"/>
    </xf>
    <xf numFmtId="0" fontId="34" fillId="0" borderId="0" xfId="1" applyFont="1"/>
    <xf numFmtId="166" fontId="34" fillId="0" borderId="0" xfId="1878" applyNumberFormat="1" applyFont="1">
      <alignment vertical="center"/>
    </xf>
    <xf numFmtId="49" fontId="34" fillId="0" borderId="0" xfId="1" applyNumberFormat="1" applyFont="1" applyAlignment="1">
      <alignment vertical="center"/>
    </xf>
    <xf numFmtId="0" fontId="36" fillId="0" borderId="0" xfId="3231" applyFont="1" applyBorder="1" applyAlignment="1">
      <alignment vertical="center"/>
    </xf>
    <xf numFmtId="0" fontId="37" fillId="0" borderId="0" xfId="1" applyFont="1" applyAlignment="1">
      <alignment vertical="center"/>
    </xf>
    <xf numFmtId="49" fontId="38" fillId="0" borderId="0" xfId="1" applyNumberFormat="1" applyFont="1" applyBorder="1" applyAlignment="1">
      <alignment horizontal="center" vertical="center" wrapText="1"/>
    </xf>
    <xf numFmtId="0" fontId="31" fillId="0" borderId="0" xfId="1" applyFont="1" applyAlignment="1">
      <alignment vertical="center" wrapText="1"/>
    </xf>
    <xf numFmtId="0" fontId="2" fillId="0" borderId="0" xfId="3233" applyAlignment="1">
      <alignment vertical="center" wrapText="1"/>
    </xf>
    <xf numFmtId="0" fontId="31" fillId="0" borderId="0" xfId="3233" applyFont="1" applyAlignment="1">
      <alignment vertical="center" wrapText="1"/>
    </xf>
    <xf numFmtId="0" fontId="5" fillId="0" borderId="0" xfId="3232" applyAlignment="1">
      <alignment vertical="center" wrapText="1"/>
    </xf>
    <xf numFmtId="49" fontId="37" fillId="0" borderId="0" xfId="1" applyNumberFormat="1" applyFont="1" applyFill="1" applyBorder="1" applyAlignment="1" applyProtection="1">
      <alignment horizontal="left" vertical="center" wrapText="1"/>
    </xf>
    <xf numFmtId="167" fontId="37" fillId="0" borderId="0" xfId="1" applyNumberFormat="1" applyFont="1" applyAlignment="1">
      <alignment vertical="center"/>
    </xf>
    <xf numFmtId="0" fontId="31" fillId="0" borderId="0" xfId="1" applyFont="1" applyAlignment="1">
      <alignment vertical="center"/>
    </xf>
    <xf numFmtId="49" fontId="37" fillId="0" borderId="0" xfId="1" applyNumberFormat="1" applyFont="1" applyAlignment="1">
      <alignment vertical="center"/>
    </xf>
    <xf numFmtId="0" fontId="37" fillId="0" borderId="0" xfId="1" applyFont="1"/>
    <xf numFmtId="0" fontId="19" fillId="0" borderId="0" xfId="1" applyFont="1"/>
    <xf numFmtId="0" fontId="35" fillId="0" borderId="33" xfId="1" applyFont="1" applyFill="1" applyBorder="1" applyAlignment="1">
      <alignment horizontal="left" vertical="center"/>
    </xf>
    <xf numFmtId="0" fontId="35" fillId="0" borderId="13" xfId="1" applyFont="1" applyFill="1" applyBorder="1" applyAlignment="1">
      <alignment horizontal="center" vertical="center"/>
    </xf>
    <xf numFmtId="0" fontId="35" fillId="0" borderId="34" xfId="1" applyFont="1" applyFill="1" applyBorder="1" applyAlignment="1">
      <alignment horizontal="center" vertical="center"/>
    </xf>
    <xf numFmtId="0" fontId="38" fillId="35" borderId="35" xfId="1" applyFont="1" applyFill="1" applyBorder="1" applyAlignment="1">
      <alignment horizontal="left" vertical="center"/>
    </xf>
    <xf numFmtId="0" fontId="42" fillId="35" borderId="25" xfId="1" applyFont="1" applyFill="1" applyBorder="1" applyAlignment="1">
      <alignment horizontal="left" vertical="center" wrapText="1"/>
    </xf>
    <xf numFmtId="0" fontId="42" fillId="35" borderId="36" xfId="1" applyFont="1" applyFill="1" applyBorder="1" applyAlignment="1">
      <alignment horizontal="left" vertical="center" wrapText="1"/>
    </xf>
    <xf numFmtId="0" fontId="42" fillId="35" borderId="5" xfId="1" applyFont="1" applyFill="1" applyBorder="1" applyAlignment="1">
      <alignment horizontal="left" vertical="center" wrapText="1"/>
    </xf>
    <xf numFmtId="0" fontId="3" fillId="0" borderId="36" xfId="3231" applyFill="1" applyBorder="1" applyAlignment="1">
      <alignment horizontal="left" vertical="center" wrapText="1"/>
    </xf>
    <xf numFmtId="0" fontId="3" fillId="0" borderId="5" xfId="3231" applyFill="1" applyBorder="1" applyAlignment="1">
      <alignment horizontal="left" vertical="center" wrapText="1"/>
    </xf>
    <xf numFmtId="0" fontId="37" fillId="35" borderId="5" xfId="1" applyFont="1" applyFill="1" applyBorder="1" applyAlignment="1">
      <alignment horizontal="left" vertical="center" wrapText="1"/>
    </xf>
    <xf numFmtId="0" fontId="38" fillId="35" borderId="35" xfId="1" applyFont="1" applyFill="1" applyBorder="1" applyAlignment="1">
      <alignment vertical="center"/>
    </xf>
    <xf numFmtId="0" fontId="42" fillId="35" borderId="25" xfId="1" applyFont="1" applyFill="1" applyBorder="1" applyAlignment="1">
      <alignment vertical="center" wrapText="1"/>
    </xf>
    <xf numFmtId="0" fontId="38" fillId="35" borderId="4" xfId="1" applyFont="1" applyFill="1" applyBorder="1" applyAlignment="1">
      <alignment horizontal="left" vertical="center"/>
    </xf>
    <xf numFmtId="0" fontId="42" fillId="35" borderId="0" xfId="1" applyFont="1" applyFill="1" applyBorder="1" applyAlignment="1">
      <alignment vertical="center" wrapText="1"/>
    </xf>
    <xf numFmtId="0" fontId="42" fillId="35" borderId="4" xfId="1" applyFont="1" applyFill="1" applyBorder="1" applyAlignment="1">
      <alignment vertical="center" wrapText="1"/>
    </xf>
    <xf numFmtId="0" fontId="42" fillId="35" borderId="36" xfId="1" applyFont="1" applyFill="1" applyBorder="1" applyAlignment="1">
      <alignment vertical="center" wrapText="1"/>
    </xf>
    <xf numFmtId="0" fontId="42" fillId="35" borderId="5" xfId="1" applyFont="1" applyFill="1" applyBorder="1" applyAlignment="1">
      <alignment vertical="center" wrapText="1"/>
    </xf>
    <xf numFmtId="0" fontId="35" fillId="0" borderId="25" xfId="1" applyFont="1" applyFill="1" applyBorder="1" applyAlignment="1">
      <alignment horizontal="center" vertical="center"/>
    </xf>
    <xf numFmtId="3" fontId="34" fillId="35" borderId="19" xfId="1" applyNumberFormat="1" applyFont="1" applyFill="1" applyBorder="1" applyAlignment="1">
      <alignment horizontal="center" vertical="center" wrapText="1"/>
    </xf>
    <xf numFmtId="3" fontId="34" fillId="35" borderId="38" xfId="1" applyNumberFormat="1" applyFont="1" applyFill="1" applyBorder="1" applyAlignment="1">
      <alignment horizontal="center" vertical="center" wrapText="1"/>
    </xf>
    <xf numFmtId="0" fontId="164" fillId="35" borderId="19" xfId="1" applyFont="1" applyFill="1" applyBorder="1" applyAlignment="1">
      <alignment horizontal="center" vertical="center"/>
    </xf>
    <xf numFmtId="0" fontId="35" fillId="52" borderId="51" xfId="0" applyFont="1" applyFill="1" applyBorder="1" applyAlignment="1">
      <alignment horizontal="center" vertical="center" wrapText="1"/>
    </xf>
    <xf numFmtId="49" fontId="34" fillId="0" borderId="34" xfId="1" applyNumberFormat="1" applyFont="1" applyFill="1" applyBorder="1" applyAlignment="1">
      <alignment horizontal="left" vertical="center"/>
    </xf>
    <xf numFmtId="3" fontId="0" fillId="0" borderId="10" xfId="0" applyNumberFormat="1" applyBorder="1"/>
    <xf numFmtId="0" fontId="32" fillId="0" borderId="0" xfId="0" applyFont="1" applyAlignment="1">
      <alignment horizontal="right" vertical="center" wrapText="1"/>
    </xf>
    <xf numFmtId="0" fontId="0" fillId="0" borderId="0" xfId="0"/>
    <xf numFmtId="0" fontId="32" fillId="0" borderId="0" xfId="0" applyFont="1" applyAlignment="1">
      <alignment horizontal="right" vertical="center"/>
    </xf>
    <xf numFmtId="0" fontId="138" fillId="50" borderId="0" xfId="0" applyFont="1" applyFill="1" applyAlignment="1">
      <alignment horizontal="left" vertical="center"/>
    </xf>
    <xf numFmtId="0" fontId="32" fillId="0" borderId="0" xfId="1" applyFont="1" applyAlignment="1">
      <alignment horizontal="right" vertical="center"/>
    </xf>
    <xf numFmtId="0" fontId="32" fillId="50" borderId="5" xfId="0" applyFont="1" applyFill="1" applyBorder="1" applyAlignment="1">
      <alignment horizontal="left" vertical="center"/>
    </xf>
    <xf numFmtId="0" fontId="32" fillId="51" borderId="0" xfId="0" applyFont="1" applyFill="1" applyAlignment="1">
      <alignment horizontal="left" vertical="center"/>
    </xf>
    <xf numFmtId="0" fontId="32" fillId="52" borderId="47" xfId="0" applyFont="1" applyFill="1" applyBorder="1" applyAlignment="1">
      <alignment horizontal="center" vertical="center"/>
    </xf>
    <xf numFmtId="0" fontId="32" fillId="52" borderId="48" xfId="0" applyFont="1" applyFill="1" applyBorder="1" applyAlignment="1">
      <alignment horizontal="center" vertical="center"/>
    </xf>
    <xf numFmtId="0" fontId="32" fillId="0" borderId="39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0" fillId="0" borderId="0" xfId="0" applyBorder="1"/>
    <xf numFmtId="0" fontId="0" fillId="0" borderId="32" xfId="0" applyBorder="1"/>
    <xf numFmtId="0" fontId="32" fillId="0" borderId="0" xfId="0" applyFont="1" applyFill="1" applyAlignment="1">
      <alignment horizontal="center" vertical="center"/>
    </xf>
    <xf numFmtId="0" fontId="0" fillId="50" borderId="0" xfId="0" applyFill="1"/>
    <xf numFmtId="0" fontId="34" fillId="0" borderId="19" xfId="0" applyFont="1" applyBorder="1"/>
    <xf numFmtId="0" fontId="134" fillId="0" borderId="0" xfId="0" applyFont="1" applyAlignment="1">
      <alignment horizontal="left" vertical="center" wrapText="1"/>
    </xf>
    <xf numFmtId="0" fontId="134" fillId="0" borderId="0" xfId="0" applyFont="1" applyAlignment="1">
      <alignment horizontal="left" vertical="center"/>
    </xf>
  </cellXfs>
  <cellStyles count="6432">
    <cellStyle name="_x001e_" xfId="1"/>
    <cellStyle name="_x001e_ 2" xfId="2"/>
    <cellStyle name="_x001e_ 2 10" xfId="4567"/>
    <cellStyle name="_x001e_ 2 11" xfId="4618"/>
    <cellStyle name="_x001e_ 2 12" xfId="4634"/>
    <cellStyle name="_x001e_ 2 13" xfId="4691"/>
    <cellStyle name="_x001e_ 2 14" xfId="4697"/>
    <cellStyle name="_x001e_ 2 15" xfId="4757"/>
    <cellStyle name="_x001e_ 2 16" xfId="4789"/>
    <cellStyle name="_x001e_ 2 17" xfId="4815"/>
    <cellStyle name="_x001e_ 2 18" xfId="4847"/>
    <cellStyle name="_x001e_ 2 19" xfId="4871"/>
    <cellStyle name="_x001e_ 2 2" xfId="3"/>
    <cellStyle name="_x001e_ 2 2 2" xfId="4"/>
    <cellStyle name="_x001e_ 2 2 2 2" xfId="5"/>
    <cellStyle name="_x001e_ 2 2 2 2 2" xfId="4912"/>
    <cellStyle name="_x001e_ 2 2 2 2 2 2" xfId="4913"/>
    <cellStyle name="_x001e_ 2 2 2 2 2 3" xfId="5172"/>
    <cellStyle name="_x001e_ 2 2 2 2 3" xfId="5173"/>
    <cellStyle name="_x001e_ 2 2 2 3" xfId="6"/>
    <cellStyle name="_x001e_ 2 2 2 4" xfId="7"/>
    <cellStyle name="_x001e_ 2 2 2 5" xfId="8"/>
    <cellStyle name="_x001e_ 2 2 2 6" xfId="9"/>
    <cellStyle name="_x001e_ 2 2 2 7" xfId="4911"/>
    <cellStyle name="_x001e_ 2 2 2 8" xfId="5174"/>
    <cellStyle name="_x001e_ 2 2 3" xfId="10"/>
    <cellStyle name="_x001e_ 2 2 4" xfId="11"/>
    <cellStyle name="_x001e_ 2 2 5" xfId="12"/>
    <cellStyle name="_x001e_ 2 2 6" xfId="13"/>
    <cellStyle name="_x001e_ 2 2 7" xfId="4910"/>
    <cellStyle name="_x001e_ 2 2 8" xfId="4700"/>
    <cellStyle name="_x001e_ 2 20" xfId="4885"/>
    <cellStyle name="_x001e_ 2 21" xfId="4899"/>
    <cellStyle name="_x001e_ 2 22" xfId="4905"/>
    <cellStyle name="_x001e_ 2 23" xfId="5243"/>
    <cellStyle name="_x001e_ 2 3" xfId="14"/>
    <cellStyle name="_x001e_ 2 4" xfId="15"/>
    <cellStyle name="_x001e_ 2 5" xfId="16"/>
    <cellStyle name="_x001e_ 2 6" xfId="17"/>
    <cellStyle name="_x001e_ 2 7" xfId="18"/>
    <cellStyle name="_x001e_ 2 8" xfId="3898"/>
    <cellStyle name="_x001e_ 2 9" xfId="4351"/>
    <cellStyle name="_x001e_ 2_ 2.1M" xfId="19"/>
    <cellStyle name="$0" xfId="20"/>
    <cellStyle name="$0.0" xfId="21"/>
    <cellStyle name="$0.0 2" xfId="22"/>
    <cellStyle name="$0.00" xfId="23"/>
    <cellStyle name="%0" xfId="24"/>
    <cellStyle name="%0.0" xfId="25"/>
    <cellStyle name="??&amp;O?&amp;H?_x0008__x000f__x0007_?_x0007__x0001__x0001_" xfId="3899"/>
    <cellStyle name="_x001e__BOM Template" xfId="26"/>
    <cellStyle name="_x001e__BOM Template 2" xfId="27"/>
    <cellStyle name="_x001e__BOM Template 3" xfId="28"/>
    <cellStyle name="_x001e__BOM Template 4" xfId="29"/>
    <cellStyle name="_x001e__BOM Template 5" xfId="30"/>
    <cellStyle name="_x001e__BOM Template 6" xfId="31"/>
    <cellStyle name="_x001e__BOM Template 7" xfId="4914"/>
    <cellStyle name="_x001e__BOM Template 8" xfId="5171"/>
    <cellStyle name="_x001e__BOM Template_ 2.1M" xfId="32"/>
    <cellStyle name="_x001e__BOM Template_1.1M" xfId="33"/>
    <cellStyle name="_x001e__BOM Template_2.1M" xfId="34"/>
    <cellStyle name="_x001e__BOM Template_383K" xfId="35"/>
    <cellStyle name="_x001e__BOM Template_766K" xfId="36"/>
    <cellStyle name="_x001e__Chrysler Cargo Lamp" xfId="37"/>
    <cellStyle name="_Column1" xfId="38"/>
    <cellStyle name="_Column1_0305 _Business Case Feasibilitysutdy" xfId="39"/>
    <cellStyle name="_Column1_Fixkosten werke" xfId="40"/>
    <cellStyle name="_Column1_Fixkosten Werke LUP 04" xfId="41"/>
    <cellStyle name="_Column2" xfId="42"/>
    <cellStyle name="_Column3" xfId="43"/>
    <cellStyle name="_Column4" xfId="44"/>
    <cellStyle name="_Column4_0305 _Business Case Feasibilitysutdy" xfId="45"/>
    <cellStyle name="_Column4_Fixkosten werke" xfId="46"/>
    <cellStyle name="_Column4_Fixkosten Werke LUP 04" xfId="47"/>
    <cellStyle name="_Column5" xfId="48"/>
    <cellStyle name="_Column6" xfId="49"/>
    <cellStyle name="_Column7" xfId="50"/>
    <cellStyle name="_Column7 2" xfId="51"/>
    <cellStyle name="_CostPAT_CD391E_2013MY_Approved_2010-10-11" xfId="52"/>
    <cellStyle name="_CPATemplate" xfId="53"/>
    <cellStyle name="_CPATemplate 2" xfId="54"/>
    <cellStyle name="_x001e__Cst Brkdwn K2XX SMT L" xfId="55"/>
    <cellStyle name="_x001e__Cst Brkdwn MDX AAG Design" xfId="56"/>
    <cellStyle name="_x001e__D544" xfId="57"/>
    <cellStyle name="_x001e__D544 2" xfId="58"/>
    <cellStyle name="_x001e__D544 3" xfId="59"/>
    <cellStyle name="_x001e__D544 4" xfId="60"/>
    <cellStyle name="_x001e__D544 5" xfId="61"/>
    <cellStyle name="_x001e__D544 6" xfId="62"/>
    <cellStyle name="_x001e__D544 7" xfId="4915"/>
    <cellStyle name="_x001e__D544 8" xfId="5170"/>
    <cellStyle name="_x001e__D544_ 2.1M" xfId="63"/>
    <cellStyle name="_x001e__D544_1.1M" xfId="64"/>
    <cellStyle name="_x001e__D544_2.1M" xfId="65"/>
    <cellStyle name="_x001e__D544_383K" xfId="66"/>
    <cellStyle name="_x001e__D544_766K" xfId="67"/>
    <cellStyle name="_Data" xfId="68"/>
    <cellStyle name="_Data_031022 Vertrieb o. Zentrale Status-LUP auf Budget FC-11 version" xfId="69"/>
    <cellStyle name="_Data_20060512 (v2) Bilanzplanung LUP 2007-2012 05-12-2006" xfId="70"/>
    <cellStyle name="_Data_Anlagen Referenz-LUP 06-17 - 1. Lesung" xfId="71"/>
    <cellStyle name="_Data_Bottomup Planung Regionen Budget 2004 Finaler Stand FC-11" xfId="72"/>
    <cellStyle name="_Data_C   GF_Motorrad" xfId="73"/>
    <cellStyle name="_Data_Datenquelle UX LUP 06-17 (ZZ)" xfId="74"/>
    <cellStyle name="_Data_Eigenleistung_Bereich_LUP2" xfId="75"/>
    <cellStyle name="_Data_Fixkosten werke" xfId="76"/>
    <cellStyle name="_Data_Fixkosten Werke LUP 04" xfId="77"/>
    <cellStyle name="_Data_GuV_AU_Darstellung_Detai inkl  Varianten_an_AU-1 (2)" xfId="78"/>
    <cellStyle name="_Data_Mappe3 (2)" xfId="79"/>
    <cellStyle name="_Data_Status Road Maps Ref-LUP 2. Lesung - formatiert" xfId="80"/>
    <cellStyle name="_x001e__Ford P558 Passenger Air Bag" xfId="81"/>
    <cellStyle name="_Header" xfId="82"/>
    <cellStyle name="_x001e__LF Cst Brkdwn no cap_110620" xfId="83"/>
    <cellStyle name="_x001e__LF Cst Brkdwn no cap_110620 10" xfId="4543"/>
    <cellStyle name="_x001e__LF Cst Brkdwn no cap_110620 11" xfId="4594"/>
    <cellStyle name="_x001e__LF Cst Brkdwn no cap_110620 12" xfId="4564"/>
    <cellStyle name="_x001e__LF Cst Brkdwn no cap_110620 13" xfId="4668"/>
    <cellStyle name="_x001e__LF Cst Brkdwn no cap_110620 14" xfId="4622"/>
    <cellStyle name="_x001e__LF Cst Brkdwn no cap_110620 15" xfId="4739"/>
    <cellStyle name="_x001e__LF Cst Brkdwn no cap_110620 16" xfId="4777"/>
    <cellStyle name="_x001e__LF Cst Brkdwn no cap_110620 17" xfId="4799"/>
    <cellStyle name="_x001e__LF Cst Brkdwn no cap_110620 18" xfId="4834"/>
    <cellStyle name="_x001e__LF Cst Brkdwn no cap_110620 19" xfId="4862"/>
    <cellStyle name="_x001e__LF Cst Brkdwn no cap_110620 2" xfId="84"/>
    <cellStyle name="_x001e__LF Cst Brkdwn no cap_110620 2 2" xfId="85"/>
    <cellStyle name="_x001e__LF Cst Brkdwn no cap_110620 2 2 2" xfId="86"/>
    <cellStyle name="_x001e__LF Cst Brkdwn no cap_110620 2 2 2 2" xfId="4918"/>
    <cellStyle name="_x001e__LF Cst Brkdwn no cap_110620 2 2 2 2 2" xfId="4919"/>
    <cellStyle name="_x001e__LF Cst Brkdwn no cap_110620 2 2 2 2 3" xfId="5166"/>
    <cellStyle name="_x001e__LF Cst Brkdwn no cap_110620 2 2 2 3" xfId="5167"/>
    <cellStyle name="_x001e__LF Cst Brkdwn no cap_110620 2 2 3" xfId="87"/>
    <cellStyle name="_x001e__LF Cst Brkdwn no cap_110620 2 2 4" xfId="88"/>
    <cellStyle name="_x001e__LF Cst Brkdwn no cap_110620 2 2 5" xfId="89"/>
    <cellStyle name="_x001e__LF Cst Brkdwn no cap_110620 2 2 6" xfId="90"/>
    <cellStyle name="_x001e__LF Cst Brkdwn no cap_110620 2 2 7" xfId="4917"/>
    <cellStyle name="_x001e__LF Cst Brkdwn no cap_110620 2 2 8" xfId="5168"/>
    <cellStyle name="_x001e__LF Cst Brkdwn no cap_110620 2 3" xfId="91"/>
    <cellStyle name="_x001e__LF Cst Brkdwn no cap_110620 2 4" xfId="92"/>
    <cellStyle name="_x001e__LF Cst Brkdwn no cap_110620 2 5" xfId="93"/>
    <cellStyle name="_x001e__LF Cst Brkdwn no cap_110620 2 6" xfId="94"/>
    <cellStyle name="_x001e__LF Cst Brkdwn no cap_110620 2 7" xfId="4916"/>
    <cellStyle name="_x001e__LF Cst Brkdwn no cap_110620 2 8" xfId="5169"/>
    <cellStyle name="_x001e__LF Cst Brkdwn no cap_110620 20" xfId="4878"/>
    <cellStyle name="_x001e__LF Cst Brkdwn no cap_110620 21" xfId="4893"/>
    <cellStyle name="_x001e__LF Cst Brkdwn no cap_110620 22" xfId="4904"/>
    <cellStyle name="_x001e__LF Cst Brkdwn no cap_110620 23" xfId="4909"/>
    <cellStyle name="_x001e__LF Cst Brkdwn no cap_110620 3" xfId="95"/>
    <cellStyle name="_x001e__LF Cst Brkdwn no cap_110620 4" xfId="96"/>
    <cellStyle name="_x001e__LF Cst Brkdwn no cap_110620 5" xfId="97"/>
    <cellStyle name="_x001e__LF Cst Brkdwn no cap_110620 6" xfId="98"/>
    <cellStyle name="_x001e__LF Cst Brkdwn no cap_110620 7" xfId="99"/>
    <cellStyle name="_x001e__LF Cst Brkdwn no cap_110620 8" xfId="3926"/>
    <cellStyle name="_x001e__LF Cst Brkdwn no cap_110620 9" xfId="4209"/>
    <cellStyle name="_x001e__LF Cst Brkdwn no cap_110620_ 2.1M" xfId="100"/>
    <cellStyle name="_x001e__LF Cst Brkdwn no cap_110620_1.1M" xfId="101"/>
    <cellStyle name="_x001e__LF Cst Brkdwn no cap_110620_2.1M" xfId="102"/>
    <cellStyle name="_x001e__LF Cst Brkdwn no cap_110620_383K" xfId="103"/>
    <cellStyle name="_x001e__LF Cst Brkdwn no cap_110620_660022" xfId="104"/>
    <cellStyle name="_x001e__LF Cst Brkdwn no cap_110620_660022 2" xfId="105"/>
    <cellStyle name="_x001e__LF Cst Brkdwn no cap_110620_660022 3" xfId="106"/>
    <cellStyle name="_x001e__LF Cst Brkdwn no cap_110620_660022 4" xfId="107"/>
    <cellStyle name="_x001e__LF Cst Brkdwn no cap_110620_660022 5" xfId="108"/>
    <cellStyle name="_x001e__LF Cst Brkdwn no cap_110620_660022 6" xfId="109"/>
    <cellStyle name="_x001e__LF Cst Brkdwn no cap_110620_660022 7" xfId="4921"/>
    <cellStyle name="_x001e__LF Cst Brkdwn no cap_110620_660022 8" xfId="5165"/>
    <cellStyle name="_x001e__LF Cst Brkdwn no cap_110620_660022_ 2.1M" xfId="110"/>
    <cellStyle name="_x001e__LF Cst Brkdwn no cap_110620_660022_1.1M" xfId="111"/>
    <cellStyle name="_x001e__LF Cst Brkdwn no cap_110620_660022_2.1M" xfId="112"/>
    <cellStyle name="_x001e__LF Cst Brkdwn no cap_110620_660022_383K" xfId="113"/>
    <cellStyle name="_x001e__LF Cst Brkdwn no cap_110620_660022_766K" xfId="114"/>
    <cellStyle name="_x001e__LF Cst Brkdwn no cap_110620_766K" xfId="115"/>
    <cellStyle name="_x001e__LF Cst Brkdwn no cap_110620_BOM Template" xfId="116"/>
    <cellStyle name="_x001e__LF Cst Brkdwn no cap_110620_BOM Template 2" xfId="117"/>
    <cellStyle name="_x001e__LF Cst Brkdwn no cap_110620_BOM Template 3" xfId="118"/>
    <cellStyle name="_x001e__LF Cst Brkdwn no cap_110620_BOM Template 4" xfId="119"/>
    <cellStyle name="_x001e__LF Cst Brkdwn no cap_110620_BOM Template 5" xfId="120"/>
    <cellStyle name="_x001e__LF Cst Brkdwn no cap_110620_BOM Template 6" xfId="121"/>
    <cellStyle name="_x001e__LF Cst Brkdwn no cap_110620_BOM Template 7" xfId="4923"/>
    <cellStyle name="_x001e__LF Cst Brkdwn no cap_110620_BOM Template 8" xfId="5164"/>
    <cellStyle name="_x001e__LF Cst Brkdwn no cap_110620_BOM Template_ 2.1M" xfId="122"/>
    <cellStyle name="_x001e__LF Cst Brkdwn no cap_110620_BOM Template_1" xfId="123"/>
    <cellStyle name="_x001e__LF Cst Brkdwn no cap_110620_BOM Template_1.1M" xfId="124"/>
    <cellStyle name="_x001e__LF Cst Brkdwn no cap_110620_BOM Template_2.1M" xfId="125"/>
    <cellStyle name="_x001e__LF Cst Brkdwn no cap_110620_BOM Template_383K" xfId="126"/>
    <cellStyle name="_x001e__LF Cst Brkdwn no cap_110620_BOM Template_766K" xfId="127"/>
    <cellStyle name="_x001e__LF Edit PCBA K2XX RFQ 120110" xfId="128"/>
    <cellStyle name="_x001e__LF Edit PCBA K2XX RFQ 120110 10" xfId="4542"/>
    <cellStyle name="_x001e__LF Edit PCBA K2XX RFQ 120110 11" xfId="4593"/>
    <cellStyle name="_x001e__LF Edit PCBA K2XX RFQ 120110 12" xfId="4563"/>
    <cellStyle name="_x001e__LF Edit PCBA K2XX RFQ 120110 13" xfId="4667"/>
    <cellStyle name="_x001e__LF Edit PCBA K2XX RFQ 120110 14" xfId="4621"/>
    <cellStyle name="_x001e__LF Edit PCBA K2XX RFQ 120110 15" xfId="4738"/>
    <cellStyle name="_x001e__LF Edit PCBA K2XX RFQ 120110 16" xfId="4776"/>
    <cellStyle name="_x001e__LF Edit PCBA K2XX RFQ 120110 17" xfId="4798"/>
    <cellStyle name="_x001e__LF Edit PCBA K2XX RFQ 120110 18" xfId="4833"/>
    <cellStyle name="_x001e__LF Edit PCBA K2XX RFQ 120110 19" xfId="4861"/>
    <cellStyle name="_x001e__LF Edit PCBA K2XX RFQ 120110 2" xfId="129"/>
    <cellStyle name="_x001e__LF Edit PCBA K2XX RFQ 120110 2 2" xfId="130"/>
    <cellStyle name="_x001e__LF Edit PCBA K2XX RFQ 120110 2 2 2" xfId="131"/>
    <cellStyle name="_x001e__LF Edit PCBA K2XX RFQ 120110 2 2 2 2" xfId="4926"/>
    <cellStyle name="_x001e__LF Edit PCBA K2XX RFQ 120110 2 2 2 2 2" xfId="4927"/>
    <cellStyle name="_x001e__LF Edit PCBA K2XX RFQ 120110 2 2 2 2 3" xfId="5160"/>
    <cellStyle name="_x001e__LF Edit PCBA K2XX RFQ 120110 2 2 2 3" xfId="5161"/>
    <cellStyle name="_x001e__LF Edit PCBA K2XX RFQ 120110 2 2 3" xfId="132"/>
    <cellStyle name="_x001e__LF Edit PCBA K2XX RFQ 120110 2 2 4" xfId="133"/>
    <cellStyle name="_x001e__LF Edit PCBA K2XX RFQ 120110 2 2 5" xfId="134"/>
    <cellStyle name="_x001e__LF Edit PCBA K2XX RFQ 120110 2 2 6" xfId="135"/>
    <cellStyle name="_x001e__LF Edit PCBA K2XX RFQ 120110 2 2 7" xfId="4925"/>
    <cellStyle name="_x001e__LF Edit PCBA K2XX RFQ 120110 2 2 8" xfId="5162"/>
    <cellStyle name="_x001e__LF Edit PCBA K2XX RFQ 120110 2 3" xfId="136"/>
    <cellStyle name="_x001e__LF Edit PCBA K2XX RFQ 120110 2 4" xfId="137"/>
    <cellStyle name="_x001e__LF Edit PCBA K2XX RFQ 120110 2 5" xfId="138"/>
    <cellStyle name="_x001e__LF Edit PCBA K2XX RFQ 120110 2 6" xfId="139"/>
    <cellStyle name="_x001e__LF Edit PCBA K2XX RFQ 120110 2 7" xfId="4924"/>
    <cellStyle name="_x001e__LF Edit PCBA K2XX RFQ 120110 2 8" xfId="5163"/>
    <cellStyle name="_x001e__LF Edit PCBA K2XX RFQ 120110 20" xfId="4877"/>
    <cellStyle name="_x001e__LF Edit PCBA K2XX RFQ 120110 21" xfId="4892"/>
    <cellStyle name="_x001e__LF Edit PCBA K2XX RFQ 120110 22" xfId="4903"/>
    <cellStyle name="_x001e__LF Edit PCBA K2XX RFQ 120110 23" xfId="4908"/>
    <cellStyle name="_x001e__LF Edit PCBA K2XX RFQ 120110 3" xfId="140"/>
    <cellStyle name="_x001e__LF Edit PCBA K2XX RFQ 120110 4" xfId="141"/>
    <cellStyle name="_x001e__LF Edit PCBA K2XX RFQ 120110 5" xfId="142"/>
    <cellStyle name="_x001e__LF Edit PCBA K2XX RFQ 120110 6" xfId="143"/>
    <cellStyle name="_x001e__LF Edit PCBA K2XX RFQ 120110 7" xfId="144"/>
    <cellStyle name="_x001e__LF Edit PCBA K2XX RFQ 120110 8" xfId="3927"/>
    <cellStyle name="_x001e__LF Edit PCBA K2XX RFQ 120110 9" xfId="4208"/>
    <cellStyle name="_x001e__LF Edit PCBA K2XX RFQ 120110_ 2.1M" xfId="145"/>
    <cellStyle name="_x001e__LF Edit PCBA K2XX RFQ 120110_1.1M" xfId="146"/>
    <cellStyle name="_x001e__LF Edit PCBA K2XX RFQ 120110_2.1M" xfId="147"/>
    <cellStyle name="_x001e__LF Edit PCBA K2XX RFQ 120110_383K" xfId="148"/>
    <cellStyle name="_x001e__LF Edit PCBA K2XX RFQ 120110_660022" xfId="149"/>
    <cellStyle name="_x001e__LF Edit PCBA K2XX RFQ 120110_660022 2" xfId="150"/>
    <cellStyle name="_x001e__LF Edit PCBA K2XX RFQ 120110_660022 3" xfId="151"/>
    <cellStyle name="_x001e__LF Edit PCBA K2XX RFQ 120110_660022 4" xfId="152"/>
    <cellStyle name="_x001e__LF Edit PCBA K2XX RFQ 120110_660022 5" xfId="153"/>
    <cellStyle name="_x001e__LF Edit PCBA K2XX RFQ 120110_660022 6" xfId="154"/>
    <cellStyle name="_x001e__LF Edit PCBA K2XX RFQ 120110_660022 7" xfId="4928"/>
    <cellStyle name="_x001e__LF Edit PCBA K2XX RFQ 120110_660022 8" xfId="5159"/>
    <cellStyle name="_x001e__LF Edit PCBA K2XX RFQ 120110_660022_ 2.1M" xfId="155"/>
    <cellStyle name="_x001e__LF Edit PCBA K2XX RFQ 120110_660022_1.1M" xfId="156"/>
    <cellStyle name="_x001e__LF Edit PCBA K2XX RFQ 120110_660022_2.1M" xfId="157"/>
    <cellStyle name="_x001e__LF Edit PCBA K2XX RFQ 120110_660022_383K" xfId="158"/>
    <cellStyle name="_x001e__LF Edit PCBA K2XX RFQ 120110_660022_766K" xfId="159"/>
    <cellStyle name="_x001e__LF Edit PCBA K2XX RFQ 120110_766K" xfId="160"/>
    <cellStyle name="_x001e__LF Edit PCBA K2XX RFQ 120110_BOM Template" xfId="161"/>
    <cellStyle name="_x001e__LF Edit PCBA K2XX RFQ 120110_BOM Template 2" xfId="162"/>
    <cellStyle name="_x001e__LF Edit PCBA K2XX RFQ 120110_BOM Template 3" xfId="163"/>
    <cellStyle name="_x001e__LF Edit PCBA K2XX RFQ 120110_BOM Template 4" xfId="164"/>
    <cellStyle name="_x001e__LF Edit PCBA K2XX RFQ 120110_BOM Template 5" xfId="165"/>
    <cellStyle name="_x001e__LF Edit PCBA K2XX RFQ 120110_BOM Template 6" xfId="166"/>
    <cellStyle name="_x001e__LF Edit PCBA K2XX RFQ 120110_BOM Template 7" xfId="4929"/>
    <cellStyle name="_x001e__LF Edit PCBA K2XX RFQ 120110_BOM Template 8" xfId="5158"/>
    <cellStyle name="_x001e__LF Edit PCBA K2XX RFQ 120110_BOM Template_ 2.1M" xfId="167"/>
    <cellStyle name="_x001e__LF Edit PCBA K2XX RFQ 120110_BOM Template_1" xfId="168"/>
    <cellStyle name="_x001e__LF Edit PCBA K2XX RFQ 120110_BOM Template_1.1M" xfId="169"/>
    <cellStyle name="_x001e__LF Edit PCBA K2XX RFQ 120110_BOM Template_2.1M" xfId="170"/>
    <cellStyle name="_x001e__LF Edit PCBA K2XX RFQ 120110_BOM Template_383K" xfId="171"/>
    <cellStyle name="_x001e__LF Edit PCBA K2XX RFQ 120110_BOM Template_766K" xfId="172"/>
    <cellStyle name="_x001e__LF edited BMW mini BOM Rnd2" xfId="173"/>
    <cellStyle name="_x001e__LF edited BMW mini BOM Rnd2 10" xfId="4541"/>
    <cellStyle name="_x001e__LF edited BMW mini BOM Rnd2 11" xfId="4592"/>
    <cellStyle name="_x001e__LF edited BMW mini BOM Rnd2 12" xfId="4562"/>
    <cellStyle name="_x001e__LF edited BMW mini BOM Rnd2 13" xfId="4666"/>
    <cellStyle name="_x001e__LF edited BMW mini BOM Rnd2 14" xfId="4620"/>
    <cellStyle name="_x001e__LF edited BMW mini BOM Rnd2 15" xfId="4737"/>
    <cellStyle name="_x001e__LF edited BMW mini BOM Rnd2 16" xfId="4775"/>
    <cellStyle name="_x001e__LF edited BMW mini BOM Rnd2 17" xfId="4797"/>
    <cellStyle name="_x001e__LF edited BMW mini BOM Rnd2 18" xfId="4832"/>
    <cellStyle name="_x001e__LF edited BMW mini BOM Rnd2 19" xfId="4860"/>
    <cellStyle name="_x001e__LF edited BMW mini BOM Rnd2 2" xfId="174"/>
    <cellStyle name="_x001e__LF edited BMW mini BOM Rnd2 2 2" xfId="175"/>
    <cellStyle name="_x001e__LF edited BMW mini BOM Rnd2 2 2 2" xfId="176"/>
    <cellStyle name="_x001e__LF edited BMW mini BOM Rnd2 2 2 2 2" xfId="4932"/>
    <cellStyle name="_x001e__LF edited BMW mini BOM Rnd2 2 2 2 2 2" xfId="4933"/>
    <cellStyle name="_x001e__LF edited BMW mini BOM Rnd2 2 2 2 2 3" xfId="5154"/>
    <cellStyle name="_x001e__LF edited BMW mini BOM Rnd2 2 2 2 3" xfId="5155"/>
    <cellStyle name="_x001e__LF edited BMW mini BOM Rnd2 2 2 3" xfId="177"/>
    <cellStyle name="_x001e__LF edited BMW mini BOM Rnd2 2 2 4" xfId="178"/>
    <cellStyle name="_x001e__LF edited BMW mini BOM Rnd2 2 2 5" xfId="179"/>
    <cellStyle name="_x001e__LF edited BMW mini BOM Rnd2 2 2 6" xfId="180"/>
    <cellStyle name="_x001e__LF edited BMW mini BOM Rnd2 2 2 7" xfId="4931"/>
    <cellStyle name="_x001e__LF edited BMW mini BOM Rnd2 2 2 8" xfId="5156"/>
    <cellStyle name="_x001e__LF edited BMW mini BOM Rnd2 2 3" xfId="181"/>
    <cellStyle name="_x001e__LF edited BMW mini BOM Rnd2 2 4" xfId="182"/>
    <cellStyle name="_x001e__LF edited BMW mini BOM Rnd2 2 5" xfId="183"/>
    <cellStyle name="_x001e__LF edited BMW mini BOM Rnd2 2 6" xfId="184"/>
    <cellStyle name="_x001e__LF edited BMW mini BOM Rnd2 2 7" xfId="4930"/>
    <cellStyle name="_x001e__LF edited BMW mini BOM Rnd2 2 8" xfId="5157"/>
    <cellStyle name="_x001e__LF edited BMW mini BOM Rnd2 20" xfId="4876"/>
    <cellStyle name="_x001e__LF edited BMW mini BOM Rnd2 21" xfId="4891"/>
    <cellStyle name="_x001e__LF edited BMW mini BOM Rnd2 22" xfId="4902"/>
    <cellStyle name="_x001e__LF edited BMW mini BOM Rnd2 23" xfId="4907"/>
    <cellStyle name="_x001e__LF edited BMW mini BOM Rnd2 3" xfId="185"/>
    <cellStyle name="_x001e__LF edited BMW mini BOM Rnd2 4" xfId="186"/>
    <cellStyle name="_x001e__LF edited BMW mini BOM Rnd2 5" xfId="187"/>
    <cellStyle name="_x001e__LF edited BMW mini BOM Rnd2 6" xfId="188"/>
    <cellStyle name="_x001e__LF edited BMW mini BOM Rnd2 7" xfId="189"/>
    <cellStyle name="_x001e__LF edited BMW mini BOM Rnd2 8" xfId="3928"/>
    <cellStyle name="_x001e__LF edited BMW mini BOM Rnd2 9" xfId="4207"/>
    <cellStyle name="_x001e__LF edited BMW mini BOM Rnd2_ 2.1M" xfId="190"/>
    <cellStyle name="_x001e__LF edited BMW mini BOM Rnd2_1.1M" xfId="191"/>
    <cellStyle name="_x001e__LF edited BMW mini BOM Rnd2_2.1M" xfId="192"/>
    <cellStyle name="_x001e__LF edited BMW mini BOM Rnd2_383K" xfId="193"/>
    <cellStyle name="_x001e__LF edited BMW mini BOM Rnd2_660022" xfId="194"/>
    <cellStyle name="_x001e__LF edited BMW mini BOM Rnd2_660022 2" xfId="195"/>
    <cellStyle name="_x001e__LF edited BMW mini BOM Rnd2_660022 3" xfId="196"/>
    <cellStyle name="_x001e__LF edited BMW mini BOM Rnd2_660022 4" xfId="197"/>
    <cellStyle name="_x001e__LF edited BMW mini BOM Rnd2_660022 5" xfId="198"/>
    <cellStyle name="_x001e__LF edited BMW mini BOM Rnd2_660022 6" xfId="199"/>
    <cellStyle name="_x001e__LF edited BMW mini BOM Rnd2_660022 7" xfId="4934"/>
    <cellStyle name="_x001e__LF edited BMW mini BOM Rnd2_660022 8" xfId="5153"/>
    <cellStyle name="_x001e__LF edited BMW mini BOM Rnd2_660022_ 2.1M" xfId="200"/>
    <cellStyle name="_x001e__LF edited BMW mini BOM Rnd2_660022_1.1M" xfId="201"/>
    <cellStyle name="_x001e__LF edited BMW mini BOM Rnd2_660022_2.1M" xfId="202"/>
    <cellStyle name="_x001e__LF edited BMW mini BOM Rnd2_660022_383K" xfId="203"/>
    <cellStyle name="_x001e__LF edited BMW mini BOM Rnd2_660022_766K" xfId="204"/>
    <cellStyle name="_x001e__LF edited BMW mini BOM Rnd2_766K" xfId="205"/>
    <cellStyle name="_x001e__LF edited BMW mini BOM Rnd2_BOM Template" xfId="206"/>
    <cellStyle name="_x001e__LF edited BMW mini BOM Rnd2_BOM Template 2" xfId="207"/>
    <cellStyle name="_x001e__LF edited BMW mini BOM Rnd2_BOM Template 3" xfId="208"/>
    <cellStyle name="_x001e__LF edited BMW mini BOM Rnd2_BOM Template 4" xfId="209"/>
    <cellStyle name="_x001e__LF edited BMW mini BOM Rnd2_BOM Template 5" xfId="210"/>
    <cellStyle name="_x001e__LF edited BMW mini BOM Rnd2_BOM Template 6" xfId="211"/>
    <cellStyle name="_x001e__LF edited BMW mini BOM Rnd2_BOM Template 7" xfId="4935"/>
    <cellStyle name="_x001e__LF edited BMW mini BOM Rnd2_BOM Template 8" xfId="5152"/>
    <cellStyle name="_x001e__LF edited BMW mini BOM Rnd2_BOM Template_ 2.1M" xfId="212"/>
    <cellStyle name="_x001e__LF edited BMW mini BOM Rnd2_BOM Template_1" xfId="213"/>
    <cellStyle name="_x001e__LF edited BMW mini BOM Rnd2_BOM Template_1.1M" xfId="214"/>
    <cellStyle name="_x001e__LF edited BMW mini BOM Rnd2_BOM Template_2.1M" xfId="215"/>
    <cellStyle name="_x001e__LF edited BMW mini BOM Rnd2_BOM Template_383K" xfId="216"/>
    <cellStyle name="_x001e__LF edited BMW mini BOM Rnd2_BOM Template_766K" xfId="217"/>
    <cellStyle name="_Row1" xfId="218"/>
    <cellStyle name="_Row1_0305 _Business Case Feasibilitysutdy" xfId="219"/>
    <cellStyle name="_Row1_Fixkosten werke" xfId="220"/>
    <cellStyle name="_Row1_Fixkosten Werke LUP 04" xfId="221"/>
    <cellStyle name="_Row2" xfId="222"/>
    <cellStyle name="_Row3" xfId="223"/>
    <cellStyle name="_Row4" xfId="224"/>
    <cellStyle name="_Row5" xfId="225"/>
    <cellStyle name="_Row6" xfId="226"/>
    <cellStyle name="_Row7" xfId="227"/>
    <cellStyle name="_Row7 2" xfId="228"/>
    <cellStyle name="_SWRMDelta" xfId="229"/>
    <cellStyle name="_SWRMDelta 2" xfId="230"/>
    <cellStyle name="_x005f_x001e_" xfId="231"/>
    <cellStyle name="_x005f_x001e_ 10" xfId="4537"/>
    <cellStyle name="_x005f_x001e_ 11" xfId="4582"/>
    <cellStyle name="_x005f_x001e_ 12" xfId="4553"/>
    <cellStyle name="_x005f_x001e_ 13" xfId="4659"/>
    <cellStyle name="_x005f_x001e_ 14" xfId="4557"/>
    <cellStyle name="_x005f_x001e_ 15" xfId="4733"/>
    <cellStyle name="_x005f_x001e_ 16" xfId="4769"/>
    <cellStyle name="_x005f_x001e_ 17" xfId="4792"/>
    <cellStyle name="_x005f_x001e_ 18" xfId="4828"/>
    <cellStyle name="_x005f_x001e_ 19" xfId="4853"/>
    <cellStyle name="_x005f_x001e_ 2" xfId="232"/>
    <cellStyle name="_x005f_x001e_ 2 2" xfId="233"/>
    <cellStyle name="_x005f_x001e_ 2 2 2" xfId="234"/>
    <cellStyle name="_x005f_x001e_ 2 2 2 2" xfId="4938"/>
    <cellStyle name="_x005f_x001e_ 2 2 2 2 2" xfId="4939"/>
    <cellStyle name="_x005f_x001e_ 2 2 2 2 3" xfId="5148"/>
    <cellStyle name="_x005f_x001e_ 2 2 2 3" xfId="5149"/>
    <cellStyle name="_x005f_x001e_ 2 2 3" xfId="235"/>
    <cellStyle name="_x005f_x001e_ 2 2 4" xfId="236"/>
    <cellStyle name="_x005f_x001e_ 2 2 5" xfId="237"/>
    <cellStyle name="_x005f_x001e_ 2 2 6" xfId="238"/>
    <cellStyle name="_x005f_x001e_ 2 2 7" xfId="4937"/>
    <cellStyle name="_x005f_x001e_ 2 2 8" xfId="5150"/>
    <cellStyle name="_x005f_x001e_ 2 3" xfId="239"/>
    <cellStyle name="_x005f_x001e_ 2 4" xfId="240"/>
    <cellStyle name="_x005f_x001e_ 2 5" xfId="241"/>
    <cellStyle name="_x005f_x001e_ 2 6" xfId="242"/>
    <cellStyle name="_x005f_x001e_ 2 7" xfId="4936"/>
    <cellStyle name="_x005f_x001e_ 2 8" xfId="5151"/>
    <cellStyle name="_x005f_x001e_ 20" xfId="4875"/>
    <cellStyle name="_x005f_x001e_ 21" xfId="4890"/>
    <cellStyle name="_x005f_x001e_ 22" xfId="4901"/>
    <cellStyle name="_x005f_x001e_ 23" xfId="4906"/>
    <cellStyle name="_x005f_x001e_ 3" xfId="243"/>
    <cellStyle name="_x005f_x001e_ 4" xfId="244"/>
    <cellStyle name="_x005f_x001e_ 5" xfId="245"/>
    <cellStyle name="_x005f_x001e_ 6" xfId="246"/>
    <cellStyle name="_x005f_x001e_ 7" xfId="247"/>
    <cellStyle name="_x005f_x001e_ 8" xfId="3938"/>
    <cellStyle name="_x005f_x001e_ 9" xfId="4197"/>
    <cellStyle name="_x005f_x001e__ 2.1M" xfId="248"/>
    <cellStyle name="_x005f_x001e__1.1M" xfId="249"/>
    <cellStyle name="_x005f_x001e__2.1M" xfId="250"/>
    <cellStyle name="_x005f_x001e__383K" xfId="251"/>
    <cellStyle name="_x005f_x001e__660022" xfId="252"/>
    <cellStyle name="_x005f_x001e__660022 2" xfId="253"/>
    <cellStyle name="_x005f_x001e__660022 3" xfId="254"/>
    <cellStyle name="_x005f_x001e__660022 4" xfId="255"/>
    <cellStyle name="_x005f_x001e__660022 5" xfId="256"/>
    <cellStyle name="_x005f_x001e__660022 6" xfId="257"/>
    <cellStyle name="_x005f_x001e__660022 7" xfId="4940"/>
    <cellStyle name="_x005f_x001e__660022 8" xfId="4661"/>
    <cellStyle name="_x005f_x001e__660022_ 2.1M" xfId="258"/>
    <cellStyle name="_x005f_x001e__660022_1.1M" xfId="259"/>
    <cellStyle name="_x005f_x001e__660022_2.1M" xfId="260"/>
    <cellStyle name="_x005f_x001e__660022_383K" xfId="261"/>
    <cellStyle name="_x005f_x001e__660022_766K" xfId="262"/>
    <cellStyle name="_x005f_x001e__766K" xfId="263"/>
    <cellStyle name="_x005f_x001e__BOM Template" xfId="264"/>
    <cellStyle name="_x005f_x001e__BOM Template 2" xfId="265"/>
    <cellStyle name="_x005f_x001e__BOM Template 3" xfId="266"/>
    <cellStyle name="_x005f_x001e__BOM Template 4" xfId="267"/>
    <cellStyle name="_x005f_x001e__BOM Template 5" xfId="268"/>
    <cellStyle name="_x005f_x001e__BOM Template 6" xfId="269"/>
    <cellStyle name="_x005f_x001e__BOM Template 7" xfId="4941"/>
    <cellStyle name="_x005f_x001e__BOM Template 8" xfId="5147"/>
    <cellStyle name="_x005f_x001e__BOM Template_ 2.1M" xfId="270"/>
    <cellStyle name="_x005f_x001e__BOM Template_1" xfId="271"/>
    <cellStyle name="_x005f_x001e__BOM Template_1.1M" xfId="272"/>
    <cellStyle name="_x005f_x001e__BOM Template_2.1M" xfId="273"/>
    <cellStyle name="_x005f_x001e__BOM Template_383K" xfId="274"/>
    <cellStyle name="_x005f_x001e__BOM Template_766K" xfId="275"/>
    <cellStyle name="’Ê‰Ý [0.00]_!!!GO" xfId="276"/>
    <cellStyle name="’Ê‰Ý_!!!GO" xfId="277"/>
    <cellStyle name="+0" xfId="278"/>
    <cellStyle name="+0,0" xfId="279"/>
    <cellStyle name="+0_ FC II per 9 zu IST per 7" xfId="280"/>
    <cellStyle name="•W€_!!!GO" xfId="281"/>
    <cellStyle name="0" xfId="282"/>
    <cellStyle name="0 2" xfId="283"/>
    <cellStyle name="0,0" xfId="284"/>
    <cellStyle name="0.0" xfId="285"/>
    <cellStyle name="0.00" xfId="286"/>
    <cellStyle name="0_2006" xfId="287"/>
    <cellStyle name="0_20060804 Restatement JR GuV Segm. Auto alt-neu" xfId="288"/>
    <cellStyle name="0_20061006 Umstellung GuV Joint Reporting" xfId="289"/>
    <cellStyle name="0_2015 S550 CCB assembly BOM_FR3B-6304545-A_Alum vs Steel estimates" xfId="290"/>
    <cellStyle name="0_AfA_Aufriß für Entwicklungskosten_S1_DS_FC12" xfId="291"/>
    <cellStyle name="0_JR Umstellung Entwicklungskosten (2)" xfId="292"/>
    <cellStyle name="0_JR Umstellung Entwicklungskosten (3)" xfId="293"/>
    <cellStyle name="0_JR Umstellung Vertriebskosten" xfId="294"/>
    <cellStyle name="0_JR Umstellung Verwaltungskosten" xfId="295"/>
    <cellStyle name="0_JR Umstellung_Produktion" xfId="296"/>
    <cellStyle name="0_JR Umstellung_SBEA" xfId="297"/>
    <cellStyle name="0_KAMML_95" xfId="298"/>
    <cellStyle name="0_KAMML_95_0305 _Business Case Feasibilitysutdy" xfId="299"/>
    <cellStyle name="0_KAMML_95_Fixkosten werke" xfId="300"/>
    <cellStyle name="0_KAMML_95_Fixkosten Werke LUP 04" xfId="301"/>
    <cellStyle name="0_Segment-Bericht Referenz-LUP 2007-2018 2 Lesung 250706" xfId="302"/>
    <cellStyle name="0_Segment-Bericht Referenz-LUP 2007-2018 Freeze 21-04-2006 zum A F Gespräch" xfId="303"/>
    <cellStyle name="0_U625 2nd Row 702K" xfId="304"/>
    <cellStyle name="0_Von FC-13 JR Umstellung Deckungsbeitrag (2)" xfId="305"/>
    <cellStyle name="0_XX98CALB" xfId="306"/>
    <cellStyle name="0_XX98CALB_ATO_ROADMAP12" xfId="307"/>
    <cellStyle name="10" xfId="308"/>
    <cellStyle name="12" xfId="309"/>
    <cellStyle name="12 2" xfId="310"/>
    <cellStyle name="12 2 2" xfId="4942"/>
    <cellStyle name="12 2 3" xfId="5146"/>
    <cellStyle name="12 3" xfId="311"/>
    <cellStyle name="12 3 2" xfId="4943"/>
    <cellStyle name="12 3 3" xfId="5145"/>
    <cellStyle name="12 4" xfId="312"/>
    <cellStyle name="12 4 2" xfId="4944"/>
    <cellStyle name="12 4 3" xfId="5144"/>
    <cellStyle name="12 5" xfId="313"/>
    <cellStyle name="12 5 2" xfId="4945"/>
    <cellStyle name="12 5 3" xfId="5143"/>
    <cellStyle name="12 6" xfId="314"/>
    <cellStyle name="12 6 2" xfId="4946"/>
    <cellStyle name="12 6 3" xfId="5142"/>
    <cellStyle name="12 7" xfId="315"/>
    <cellStyle name="12 7 2" xfId="4947"/>
    <cellStyle name="12 7 3" xfId="5141"/>
    <cellStyle name="14" xfId="316"/>
    <cellStyle name="20% - Accent1" xfId="317"/>
    <cellStyle name="20% - Accent1 10" xfId="318"/>
    <cellStyle name="20% - Accent1 10 2" xfId="319"/>
    <cellStyle name="20% - Accent1 11" xfId="320"/>
    <cellStyle name="20% - Accent1 11 2" xfId="321"/>
    <cellStyle name="20% - Accent1 12" xfId="322"/>
    <cellStyle name="20% - Accent1 12 2" xfId="323"/>
    <cellStyle name="20% - Accent1 13" xfId="324"/>
    <cellStyle name="20% - Accent1 13 2" xfId="325"/>
    <cellStyle name="20% - Accent1 14" xfId="326"/>
    <cellStyle name="20% - Accent1 14 2" xfId="327"/>
    <cellStyle name="20% - Accent1 15" xfId="328"/>
    <cellStyle name="20% - Accent1 15 2" xfId="329"/>
    <cellStyle name="20% - Accent1 16" xfId="330"/>
    <cellStyle name="20% - Accent1 16 2" xfId="331"/>
    <cellStyle name="20% - Accent1 17" xfId="332"/>
    <cellStyle name="20% - Accent1 17 2" xfId="333"/>
    <cellStyle name="20% - Accent1 18" xfId="334"/>
    <cellStyle name="20% - Accent1 18 2" xfId="335"/>
    <cellStyle name="20% - Accent1 19" xfId="336"/>
    <cellStyle name="20% - Accent1 19 2" xfId="337"/>
    <cellStyle name="20% - Accent1 2" xfId="338"/>
    <cellStyle name="20% - Accent1 2 2" xfId="339"/>
    <cellStyle name="20% - Accent1 2 2 2" xfId="340"/>
    <cellStyle name="20% - Accent1 2 3" xfId="341"/>
    <cellStyle name="20% - Accent1 2 3 2" xfId="342"/>
    <cellStyle name="20% - Accent1 2 4" xfId="343"/>
    <cellStyle name="20% - Accent1 2_U625 2nd Row 702K" xfId="344"/>
    <cellStyle name="20% - Accent1 20" xfId="345"/>
    <cellStyle name="20% - Accent1 20 2" xfId="346"/>
    <cellStyle name="20% - Accent1 21" xfId="347"/>
    <cellStyle name="20% - Accent1 21 2" xfId="348"/>
    <cellStyle name="20% - Accent1 22" xfId="349"/>
    <cellStyle name="20% - Accent1 22 2" xfId="350"/>
    <cellStyle name="20% - Accent1 23" xfId="351"/>
    <cellStyle name="20% - Accent1 23 2" xfId="352"/>
    <cellStyle name="20% - Accent1 24" xfId="353"/>
    <cellStyle name="20% - Accent1 24 2" xfId="354"/>
    <cellStyle name="20% - Accent1 25" xfId="355"/>
    <cellStyle name="20% - Accent1 25 2" xfId="356"/>
    <cellStyle name="20% - Accent1 26" xfId="357"/>
    <cellStyle name="20% - Accent1 26 2" xfId="358"/>
    <cellStyle name="20% - Accent1 27" xfId="359"/>
    <cellStyle name="20% - Accent1 27 2" xfId="360"/>
    <cellStyle name="20% - Accent1 27 3" xfId="361"/>
    <cellStyle name="20% - Accent1 27 4" xfId="362"/>
    <cellStyle name="20% - Accent1 27 5" xfId="363"/>
    <cellStyle name="20% - Accent1 27 6" xfId="364"/>
    <cellStyle name="20% - Accent1 28" xfId="365"/>
    <cellStyle name="20% - Accent1 29" xfId="366"/>
    <cellStyle name="20% - Accent1 3" xfId="367"/>
    <cellStyle name="20% - Accent1 3 2" xfId="368"/>
    <cellStyle name="20% - Accent1 30" xfId="369"/>
    <cellStyle name="20% - Accent1 31" xfId="370"/>
    <cellStyle name="20% - Accent1 32" xfId="3962"/>
    <cellStyle name="20% - Accent1 32 2" xfId="5291"/>
    <cellStyle name="20% - Accent1 32 3" xfId="5905"/>
    <cellStyle name="20% - Accent1 33" xfId="4172"/>
    <cellStyle name="20% - Accent1 33 2" xfId="5405"/>
    <cellStyle name="20% - Accent1 33 3" xfId="6019"/>
    <cellStyle name="20% - Accent1 34" xfId="4516"/>
    <cellStyle name="20% - Accent1 34 2" xfId="5581"/>
    <cellStyle name="20% - Accent1 34 3" xfId="6193"/>
    <cellStyle name="20% - Accent1 35" xfId="4236"/>
    <cellStyle name="20% - Accent1 35 2" xfId="5453"/>
    <cellStyle name="20% - Accent1 35 3" xfId="6065"/>
    <cellStyle name="20% - Accent1 36" xfId="4532"/>
    <cellStyle name="20% - Accent1 36 2" xfId="5597"/>
    <cellStyle name="20% - Accent1 36 3" xfId="6208"/>
    <cellStyle name="20% - Accent1 37" xfId="4642"/>
    <cellStyle name="20% - Accent1 37 2" xfId="5668"/>
    <cellStyle name="20% - Accent1 37 3" xfId="6278"/>
    <cellStyle name="20% - Accent1 38" xfId="4535"/>
    <cellStyle name="20% - Accent1 38 2" xfId="5600"/>
    <cellStyle name="20% - Accent1 38 3" xfId="6211"/>
    <cellStyle name="20% - Accent1 39" xfId="4718"/>
    <cellStyle name="20% - Accent1 39 2" xfId="5727"/>
    <cellStyle name="20% - Accent1 39 3" xfId="6337"/>
    <cellStyle name="20% - Accent1 4" xfId="371"/>
    <cellStyle name="20% - Accent1 4 2" xfId="372"/>
    <cellStyle name="20% - Accent1 40" xfId="4631"/>
    <cellStyle name="20% - Accent1 40 2" xfId="5659"/>
    <cellStyle name="20% - Accent1 40 3" xfId="6269"/>
    <cellStyle name="20% - Accent1 41" xfId="4744"/>
    <cellStyle name="20% - Accent1 41 2" xfId="5747"/>
    <cellStyle name="20% - Accent1 41 3" xfId="6357"/>
    <cellStyle name="20% - Accent1 42" xfId="4787"/>
    <cellStyle name="20% - Accent1 42 2" xfId="5780"/>
    <cellStyle name="20% - Accent1 42 3" xfId="6390"/>
    <cellStyle name="20% - Accent1 43" xfId="4806"/>
    <cellStyle name="20% - Accent1 43 2" xfId="5792"/>
    <cellStyle name="20% - Accent1 43 3" xfId="6402"/>
    <cellStyle name="20% - Accent1 44" xfId="4842"/>
    <cellStyle name="20% - Accent1 44 2" xfId="5812"/>
    <cellStyle name="20% - Accent1 44 3" xfId="6422"/>
    <cellStyle name="20% - Accent1 45" xfId="4868"/>
    <cellStyle name="20% - Accent1 45 2" xfId="5819"/>
    <cellStyle name="20% - Accent1 45 3" xfId="6429"/>
    <cellStyle name="20% - Accent1 46" xfId="4884"/>
    <cellStyle name="20% - Accent1 47" xfId="4898"/>
    <cellStyle name="20% - Accent1 5" xfId="373"/>
    <cellStyle name="20% - Accent1 5 2" xfId="374"/>
    <cellStyle name="20% - Accent1 6" xfId="375"/>
    <cellStyle name="20% - Accent1 6 2" xfId="376"/>
    <cellStyle name="20% - Accent1 7" xfId="377"/>
    <cellStyle name="20% - Accent1 7 2" xfId="378"/>
    <cellStyle name="20% - Accent1 8" xfId="379"/>
    <cellStyle name="20% - Accent1 8 2" xfId="380"/>
    <cellStyle name="20% - Accent1 9" xfId="381"/>
    <cellStyle name="20% - Accent1 9 2" xfId="382"/>
    <cellStyle name="20% - Accent2" xfId="383"/>
    <cellStyle name="20% - Accent2 10" xfId="384"/>
    <cellStyle name="20% - Accent2 10 2" xfId="385"/>
    <cellStyle name="20% - Accent2 11" xfId="386"/>
    <cellStyle name="20% - Accent2 11 2" xfId="387"/>
    <cellStyle name="20% - Accent2 12" xfId="388"/>
    <cellStyle name="20% - Accent2 12 2" xfId="389"/>
    <cellStyle name="20% - Accent2 13" xfId="390"/>
    <cellStyle name="20% - Accent2 13 2" xfId="391"/>
    <cellStyle name="20% - Accent2 14" xfId="392"/>
    <cellStyle name="20% - Accent2 14 2" xfId="393"/>
    <cellStyle name="20% - Accent2 15" xfId="394"/>
    <cellStyle name="20% - Accent2 15 2" xfId="395"/>
    <cellStyle name="20% - Accent2 16" xfId="396"/>
    <cellStyle name="20% - Accent2 16 2" xfId="397"/>
    <cellStyle name="20% - Accent2 17" xfId="398"/>
    <cellStyle name="20% - Accent2 17 2" xfId="399"/>
    <cellStyle name="20% - Accent2 18" xfId="400"/>
    <cellStyle name="20% - Accent2 18 2" xfId="401"/>
    <cellStyle name="20% - Accent2 19" xfId="402"/>
    <cellStyle name="20% - Accent2 19 2" xfId="403"/>
    <cellStyle name="20% - Accent2 2" xfId="404"/>
    <cellStyle name="20% - Accent2 2 2" xfId="405"/>
    <cellStyle name="20% - Accent2 2 2 2" xfId="406"/>
    <cellStyle name="20% - Accent2 2 3" xfId="407"/>
    <cellStyle name="20% - Accent2 2 3 2" xfId="408"/>
    <cellStyle name="20% - Accent2 2 4" xfId="409"/>
    <cellStyle name="20% - Accent2 2_U625 2nd Row 702K" xfId="410"/>
    <cellStyle name="20% - Accent2 20" xfId="411"/>
    <cellStyle name="20% - Accent2 20 2" xfId="412"/>
    <cellStyle name="20% - Accent2 21" xfId="413"/>
    <cellStyle name="20% - Accent2 21 2" xfId="414"/>
    <cellStyle name="20% - Accent2 22" xfId="415"/>
    <cellStyle name="20% - Accent2 22 2" xfId="416"/>
    <cellStyle name="20% - Accent2 23" xfId="417"/>
    <cellStyle name="20% - Accent2 23 2" xfId="418"/>
    <cellStyle name="20% - Accent2 24" xfId="419"/>
    <cellStyle name="20% - Accent2 24 2" xfId="420"/>
    <cellStyle name="20% - Accent2 25" xfId="421"/>
    <cellStyle name="20% - Accent2 25 2" xfId="422"/>
    <cellStyle name="20% - Accent2 26" xfId="423"/>
    <cellStyle name="20% - Accent2 26 2" xfId="424"/>
    <cellStyle name="20% - Accent2 27" xfId="425"/>
    <cellStyle name="20% - Accent2 27 2" xfId="426"/>
    <cellStyle name="20% - Accent2 27 3" xfId="427"/>
    <cellStyle name="20% - Accent2 27 4" xfId="428"/>
    <cellStyle name="20% - Accent2 27 5" xfId="429"/>
    <cellStyle name="20% - Accent2 27 6" xfId="430"/>
    <cellStyle name="20% - Accent2 28" xfId="431"/>
    <cellStyle name="20% - Accent2 29" xfId="432"/>
    <cellStyle name="20% - Accent2 3" xfId="433"/>
    <cellStyle name="20% - Accent2 3 2" xfId="434"/>
    <cellStyle name="20% - Accent2 30" xfId="435"/>
    <cellStyle name="20% - Accent2 31" xfId="436"/>
    <cellStyle name="20% - Accent2 32" xfId="3963"/>
    <cellStyle name="20% - Accent2 32 2" xfId="5292"/>
    <cellStyle name="20% - Accent2 32 3" xfId="5906"/>
    <cellStyle name="20% - Accent2 33" xfId="4171"/>
    <cellStyle name="20% - Accent2 33 2" xfId="5404"/>
    <cellStyle name="20% - Accent2 33 3" xfId="6018"/>
    <cellStyle name="20% - Accent2 34" xfId="4515"/>
    <cellStyle name="20% - Accent2 34 2" xfId="5580"/>
    <cellStyle name="20% - Accent2 34 3" xfId="6192"/>
    <cellStyle name="20% - Accent2 35" xfId="4234"/>
    <cellStyle name="20% - Accent2 35 2" xfId="5451"/>
    <cellStyle name="20% - Accent2 35 3" xfId="6063"/>
    <cellStyle name="20% - Accent2 36" xfId="4531"/>
    <cellStyle name="20% - Accent2 36 2" xfId="5596"/>
    <cellStyle name="20% - Accent2 36 3" xfId="6207"/>
    <cellStyle name="20% - Accent2 37" xfId="4641"/>
    <cellStyle name="20% - Accent2 37 2" xfId="5667"/>
    <cellStyle name="20% - Accent2 37 3" xfId="6277"/>
    <cellStyle name="20% - Accent2 38" xfId="4534"/>
    <cellStyle name="20% - Accent2 38 2" xfId="5599"/>
    <cellStyle name="20% - Accent2 38 3" xfId="6210"/>
    <cellStyle name="20% - Accent2 39" xfId="4717"/>
    <cellStyle name="20% - Accent2 39 2" xfId="5726"/>
    <cellStyle name="20% - Accent2 39 3" xfId="6336"/>
    <cellStyle name="20% - Accent2 4" xfId="437"/>
    <cellStyle name="20% - Accent2 4 2" xfId="438"/>
    <cellStyle name="20% - Accent2 40" xfId="4630"/>
    <cellStyle name="20% - Accent2 40 2" xfId="5658"/>
    <cellStyle name="20% - Accent2 40 3" xfId="6268"/>
    <cellStyle name="20% - Accent2 41" xfId="4743"/>
    <cellStyle name="20% - Accent2 41 2" xfId="5746"/>
    <cellStyle name="20% - Accent2 41 3" xfId="6356"/>
    <cellStyle name="20% - Accent2 42" xfId="4786"/>
    <cellStyle name="20% - Accent2 42 2" xfId="5779"/>
    <cellStyle name="20% - Accent2 42 3" xfId="6389"/>
    <cellStyle name="20% - Accent2 43" xfId="4805"/>
    <cellStyle name="20% - Accent2 43 2" xfId="5791"/>
    <cellStyle name="20% - Accent2 43 3" xfId="6401"/>
    <cellStyle name="20% - Accent2 44" xfId="4841"/>
    <cellStyle name="20% - Accent2 44 2" xfId="5811"/>
    <cellStyle name="20% - Accent2 44 3" xfId="6421"/>
    <cellStyle name="20% - Accent2 45" xfId="4867"/>
    <cellStyle name="20% - Accent2 45 2" xfId="5818"/>
    <cellStyle name="20% - Accent2 45 3" xfId="6428"/>
    <cellStyle name="20% - Accent2 46" xfId="4883"/>
    <cellStyle name="20% - Accent2 47" xfId="4897"/>
    <cellStyle name="20% - Accent2 5" xfId="439"/>
    <cellStyle name="20% - Accent2 5 2" xfId="440"/>
    <cellStyle name="20% - Accent2 6" xfId="441"/>
    <cellStyle name="20% - Accent2 6 2" xfId="442"/>
    <cellStyle name="20% - Accent2 7" xfId="443"/>
    <cellStyle name="20% - Accent2 7 2" xfId="444"/>
    <cellStyle name="20% - Accent2 8" xfId="445"/>
    <cellStyle name="20% - Accent2 8 2" xfId="446"/>
    <cellStyle name="20% - Accent2 9" xfId="447"/>
    <cellStyle name="20% - Accent2 9 2" xfId="448"/>
    <cellStyle name="20% - Accent3" xfId="449"/>
    <cellStyle name="20% - Accent3 10" xfId="450"/>
    <cellStyle name="20% - Accent3 10 2" xfId="451"/>
    <cellStyle name="20% - Accent3 11" xfId="452"/>
    <cellStyle name="20% - Accent3 11 2" xfId="453"/>
    <cellStyle name="20% - Accent3 12" xfId="454"/>
    <cellStyle name="20% - Accent3 12 2" xfId="455"/>
    <cellStyle name="20% - Accent3 13" xfId="456"/>
    <cellStyle name="20% - Accent3 13 2" xfId="457"/>
    <cellStyle name="20% - Accent3 14" xfId="458"/>
    <cellStyle name="20% - Accent3 14 2" xfId="459"/>
    <cellStyle name="20% - Accent3 15" xfId="460"/>
    <cellStyle name="20% - Accent3 15 2" xfId="461"/>
    <cellStyle name="20% - Accent3 16" xfId="462"/>
    <cellStyle name="20% - Accent3 16 2" xfId="463"/>
    <cellStyle name="20% - Accent3 17" xfId="464"/>
    <cellStyle name="20% - Accent3 17 2" xfId="465"/>
    <cellStyle name="20% - Accent3 18" xfId="466"/>
    <cellStyle name="20% - Accent3 18 2" xfId="467"/>
    <cellStyle name="20% - Accent3 19" xfId="468"/>
    <cellStyle name="20% - Accent3 19 2" xfId="469"/>
    <cellStyle name="20% - Accent3 2" xfId="470"/>
    <cellStyle name="20% - Accent3 2 2" xfId="471"/>
    <cellStyle name="20% - Accent3 2 2 2" xfId="472"/>
    <cellStyle name="20% - Accent3 2 3" xfId="473"/>
    <cellStyle name="20% - Accent3 2 3 2" xfId="474"/>
    <cellStyle name="20% - Accent3 2 4" xfId="475"/>
    <cellStyle name="20% - Accent3 2_U625 2nd Row 702K" xfId="476"/>
    <cellStyle name="20% - Accent3 20" xfId="477"/>
    <cellStyle name="20% - Accent3 20 2" xfId="478"/>
    <cellStyle name="20% - Accent3 21" xfId="479"/>
    <cellStyle name="20% - Accent3 21 2" xfId="480"/>
    <cellStyle name="20% - Accent3 22" xfId="481"/>
    <cellStyle name="20% - Accent3 22 2" xfId="482"/>
    <cellStyle name="20% - Accent3 23" xfId="483"/>
    <cellStyle name="20% - Accent3 23 2" xfId="484"/>
    <cellStyle name="20% - Accent3 24" xfId="485"/>
    <cellStyle name="20% - Accent3 24 2" xfId="486"/>
    <cellStyle name="20% - Accent3 25" xfId="487"/>
    <cellStyle name="20% - Accent3 25 2" xfId="488"/>
    <cellStyle name="20% - Accent3 26" xfId="489"/>
    <cellStyle name="20% - Accent3 26 2" xfId="490"/>
    <cellStyle name="20% - Accent3 27" xfId="491"/>
    <cellStyle name="20% - Accent3 27 2" xfId="492"/>
    <cellStyle name="20% - Accent3 27 3" xfId="493"/>
    <cellStyle name="20% - Accent3 27 4" xfId="494"/>
    <cellStyle name="20% - Accent3 27 5" xfId="495"/>
    <cellStyle name="20% - Accent3 27 6" xfId="496"/>
    <cellStyle name="20% - Accent3 28" xfId="497"/>
    <cellStyle name="20% - Accent3 29" xfId="498"/>
    <cellStyle name="20% - Accent3 3" xfId="499"/>
    <cellStyle name="20% - Accent3 3 2" xfId="500"/>
    <cellStyle name="20% - Accent3 30" xfId="501"/>
    <cellStyle name="20% - Accent3 31" xfId="502"/>
    <cellStyle name="20% - Accent3 32" xfId="3964"/>
    <cellStyle name="20% - Accent3 32 2" xfId="5293"/>
    <cellStyle name="20% - Accent3 32 3" xfId="5907"/>
    <cellStyle name="20% - Accent3 33" xfId="4170"/>
    <cellStyle name="20% - Accent3 33 2" xfId="5403"/>
    <cellStyle name="20% - Accent3 33 3" xfId="6017"/>
    <cellStyle name="20% - Accent3 34" xfId="4514"/>
    <cellStyle name="20% - Accent3 34 2" xfId="5579"/>
    <cellStyle name="20% - Accent3 34 3" xfId="6191"/>
    <cellStyle name="20% - Accent3 35" xfId="4229"/>
    <cellStyle name="20% - Accent3 35 2" xfId="5447"/>
    <cellStyle name="20% - Accent3 35 3" xfId="6060"/>
    <cellStyle name="20% - Accent3 36" xfId="4530"/>
    <cellStyle name="20% - Accent3 36 2" xfId="5595"/>
    <cellStyle name="20% - Accent3 36 3" xfId="6206"/>
    <cellStyle name="20% - Accent3 37" xfId="4640"/>
    <cellStyle name="20% - Accent3 37 2" xfId="5666"/>
    <cellStyle name="20% - Accent3 37 3" xfId="6276"/>
    <cellStyle name="20% - Accent3 38" xfId="4533"/>
    <cellStyle name="20% - Accent3 38 2" xfId="5598"/>
    <cellStyle name="20% - Accent3 38 3" xfId="6209"/>
    <cellStyle name="20% - Accent3 39" xfId="4716"/>
    <cellStyle name="20% - Accent3 39 2" xfId="5725"/>
    <cellStyle name="20% - Accent3 39 3" xfId="6335"/>
    <cellStyle name="20% - Accent3 4" xfId="503"/>
    <cellStyle name="20% - Accent3 4 2" xfId="504"/>
    <cellStyle name="20% - Accent3 40" xfId="4629"/>
    <cellStyle name="20% - Accent3 40 2" xfId="5657"/>
    <cellStyle name="20% - Accent3 40 3" xfId="6267"/>
    <cellStyle name="20% - Accent3 41" xfId="4742"/>
    <cellStyle name="20% - Accent3 41 2" xfId="5745"/>
    <cellStyle name="20% - Accent3 41 3" xfId="6355"/>
    <cellStyle name="20% - Accent3 42" xfId="4785"/>
    <cellStyle name="20% - Accent3 42 2" xfId="5778"/>
    <cellStyle name="20% - Accent3 42 3" xfId="6388"/>
    <cellStyle name="20% - Accent3 43" xfId="4804"/>
    <cellStyle name="20% - Accent3 43 2" xfId="5790"/>
    <cellStyle name="20% - Accent3 43 3" xfId="6400"/>
    <cellStyle name="20% - Accent3 44" xfId="4840"/>
    <cellStyle name="20% - Accent3 44 2" xfId="5810"/>
    <cellStyle name="20% - Accent3 44 3" xfId="6420"/>
    <cellStyle name="20% - Accent3 45" xfId="4866"/>
    <cellStyle name="20% - Accent3 45 2" xfId="5817"/>
    <cellStyle name="20% - Accent3 45 3" xfId="6427"/>
    <cellStyle name="20% - Accent3 46" xfId="4882"/>
    <cellStyle name="20% - Accent3 47" xfId="4896"/>
    <cellStyle name="20% - Accent3 5" xfId="505"/>
    <cellStyle name="20% - Accent3 5 2" xfId="506"/>
    <cellStyle name="20% - Accent3 6" xfId="507"/>
    <cellStyle name="20% - Accent3 6 2" xfId="508"/>
    <cellStyle name="20% - Accent3 7" xfId="509"/>
    <cellStyle name="20% - Accent3 7 2" xfId="510"/>
    <cellStyle name="20% - Accent3 8" xfId="511"/>
    <cellStyle name="20% - Accent3 8 2" xfId="512"/>
    <cellStyle name="20% - Accent3 9" xfId="513"/>
    <cellStyle name="20% - Accent3 9 2" xfId="514"/>
    <cellStyle name="20% - Accent4" xfId="515"/>
    <cellStyle name="20% - Accent4 10" xfId="516"/>
    <cellStyle name="20% - Accent4 10 2" xfId="517"/>
    <cellStyle name="20% - Accent4 11" xfId="518"/>
    <cellStyle name="20% - Accent4 11 2" xfId="519"/>
    <cellStyle name="20% - Accent4 12" xfId="520"/>
    <cellStyle name="20% - Accent4 12 2" xfId="521"/>
    <cellStyle name="20% - Accent4 13" xfId="522"/>
    <cellStyle name="20% - Accent4 13 2" xfId="523"/>
    <cellStyle name="20% - Accent4 14" xfId="524"/>
    <cellStyle name="20% - Accent4 14 2" xfId="525"/>
    <cellStyle name="20% - Accent4 15" xfId="526"/>
    <cellStyle name="20% - Accent4 15 2" xfId="527"/>
    <cellStyle name="20% - Accent4 16" xfId="528"/>
    <cellStyle name="20% - Accent4 16 2" xfId="529"/>
    <cellStyle name="20% - Accent4 17" xfId="530"/>
    <cellStyle name="20% - Accent4 17 2" xfId="531"/>
    <cellStyle name="20% - Accent4 18" xfId="532"/>
    <cellStyle name="20% - Accent4 18 2" xfId="533"/>
    <cellStyle name="20% - Accent4 19" xfId="534"/>
    <cellStyle name="20% - Accent4 19 2" xfId="535"/>
    <cellStyle name="20% - Accent4 2" xfId="536"/>
    <cellStyle name="20% - Accent4 2 2" xfId="537"/>
    <cellStyle name="20% - Accent4 2 2 2" xfId="538"/>
    <cellStyle name="20% - Accent4 2 3" xfId="539"/>
    <cellStyle name="20% - Accent4 2 3 2" xfId="540"/>
    <cellStyle name="20% - Accent4 2 4" xfId="541"/>
    <cellStyle name="20% - Accent4 2_U625 2nd Row 702K" xfId="542"/>
    <cellStyle name="20% - Accent4 20" xfId="543"/>
    <cellStyle name="20% - Accent4 20 2" xfId="544"/>
    <cellStyle name="20% - Accent4 21" xfId="545"/>
    <cellStyle name="20% - Accent4 21 2" xfId="546"/>
    <cellStyle name="20% - Accent4 22" xfId="547"/>
    <cellStyle name="20% - Accent4 22 2" xfId="548"/>
    <cellStyle name="20% - Accent4 23" xfId="549"/>
    <cellStyle name="20% - Accent4 23 2" xfId="550"/>
    <cellStyle name="20% - Accent4 24" xfId="551"/>
    <cellStyle name="20% - Accent4 24 2" xfId="552"/>
    <cellStyle name="20% - Accent4 25" xfId="553"/>
    <cellStyle name="20% - Accent4 25 2" xfId="554"/>
    <cellStyle name="20% - Accent4 26" xfId="555"/>
    <cellStyle name="20% - Accent4 26 2" xfId="556"/>
    <cellStyle name="20% - Accent4 27" xfId="557"/>
    <cellStyle name="20% - Accent4 27 2" xfId="558"/>
    <cellStyle name="20% - Accent4 27 3" xfId="559"/>
    <cellStyle name="20% - Accent4 27 4" xfId="560"/>
    <cellStyle name="20% - Accent4 27 5" xfId="561"/>
    <cellStyle name="20% - Accent4 27 6" xfId="562"/>
    <cellStyle name="20% - Accent4 28" xfId="563"/>
    <cellStyle name="20% - Accent4 29" xfId="564"/>
    <cellStyle name="20% - Accent4 3" xfId="565"/>
    <cellStyle name="20% - Accent4 3 2" xfId="566"/>
    <cellStyle name="20% - Accent4 30" xfId="567"/>
    <cellStyle name="20% - Accent4 31" xfId="568"/>
    <cellStyle name="20% - Accent4 32" xfId="3965"/>
    <cellStyle name="20% - Accent4 32 2" xfId="5294"/>
    <cellStyle name="20% - Accent4 32 3" xfId="5908"/>
    <cellStyle name="20% - Accent4 33" xfId="4169"/>
    <cellStyle name="20% - Accent4 33 2" xfId="5402"/>
    <cellStyle name="20% - Accent4 33 3" xfId="6016"/>
    <cellStyle name="20% - Accent4 34" xfId="4513"/>
    <cellStyle name="20% - Accent4 34 2" xfId="5578"/>
    <cellStyle name="20% - Accent4 34 3" xfId="6190"/>
    <cellStyle name="20% - Accent4 35" xfId="4228"/>
    <cellStyle name="20% - Accent4 35 2" xfId="5446"/>
    <cellStyle name="20% - Accent4 35 3" xfId="6059"/>
    <cellStyle name="20% - Accent4 36" xfId="4529"/>
    <cellStyle name="20% - Accent4 36 2" xfId="5594"/>
    <cellStyle name="20% - Accent4 36 3" xfId="6205"/>
    <cellStyle name="20% - Accent4 37" xfId="4639"/>
    <cellStyle name="20% - Accent4 37 2" xfId="5665"/>
    <cellStyle name="20% - Accent4 37 3" xfId="6275"/>
    <cellStyle name="20% - Accent4 38" xfId="4526"/>
    <cellStyle name="20% - Accent4 38 2" xfId="5591"/>
    <cellStyle name="20% - Accent4 38 3" xfId="6202"/>
    <cellStyle name="20% - Accent4 39" xfId="4715"/>
    <cellStyle name="20% - Accent4 39 2" xfId="5724"/>
    <cellStyle name="20% - Accent4 39 3" xfId="6334"/>
    <cellStyle name="20% - Accent4 4" xfId="569"/>
    <cellStyle name="20% - Accent4 4 2" xfId="570"/>
    <cellStyle name="20% - Accent4 40" xfId="4628"/>
    <cellStyle name="20% - Accent4 40 2" xfId="5656"/>
    <cellStyle name="20% - Accent4 40 3" xfId="6266"/>
    <cellStyle name="20% - Accent4 41" xfId="4741"/>
    <cellStyle name="20% - Accent4 41 2" xfId="5744"/>
    <cellStyle name="20% - Accent4 41 3" xfId="6354"/>
    <cellStyle name="20% - Accent4 42" xfId="4784"/>
    <cellStyle name="20% - Accent4 42 2" xfId="5777"/>
    <cellStyle name="20% - Accent4 42 3" xfId="6387"/>
    <cellStyle name="20% - Accent4 43" xfId="4803"/>
    <cellStyle name="20% - Accent4 43 2" xfId="5789"/>
    <cellStyle name="20% - Accent4 43 3" xfId="6399"/>
    <cellStyle name="20% - Accent4 44" xfId="4839"/>
    <cellStyle name="20% - Accent4 44 2" xfId="5809"/>
    <cellStyle name="20% - Accent4 44 3" xfId="6419"/>
    <cellStyle name="20% - Accent4 45" xfId="4865"/>
    <cellStyle name="20% - Accent4 45 2" xfId="5816"/>
    <cellStyle name="20% - Accent4 45 3" xfId="6426"/>
    <cellStyle name="20% - Accent4 46" xfId="4881"/>
    <cellStyle name="20% - Accent4 47" xfId="5242"/>
    <cellStyle name="20% - Accent4 5" xfId="571"/>
    <cellStyle name="20% - Accent4 5 2" xfId="572"/>
    <cellStyle name="20% - Accent4 6" xfId="573"/>
    <cellStyle name="20% - Accent4 6 2" xfId="574"/>
    <cellStyle name="20% - Accent4 7" xfId="575"/>
    <cellStyle name="20% - Accent4 7 2" xfId="576"/>
    <cellStyle name="20% - Accent4 8" xfId="577"/>
    <cellStyle name="20% - Accent4 8 2" xfId="578"/>
    <cellStyle name="20% - Accent4 9" xfId="579"/>
    <cellStyle name="20% - Accent4 9 2" xfId="580"/>
    <cellStyle name="20% - Accent5" xfId="581"/>
    <cellStyle name="20% - Accent5 10" xfId="582"/>
    <cellStyle name="20% - Accent5 10 2" xfId="583"/>
    <cellStyle name="20% - Accent5 11" xfId="584"/>
    <cellStyle name="20% - Accent5 11 2" xfId="585"/>
    <cellStyle name="20% - Accent5 12" xfId="586"/>
    <cellStyle name="20% - Accent5 12 2" xfId="587"/>
    <cellStyle name="20% - Accent5 13" xfId="588"/>
    <cellStyle name="20% - Accent5 13 2" xfId="589"/>
    <cellStyle name="20% - Accent5 14" xfId="590"/>
    <cellStyle name="20% - Accent5 14 2" xfId="591"/>
    <cellStyle name="20% - Accent5 15" xfId="592"/>
    <cellStyle name="20% - Accent5 15 2" xfId="593"/>
    <cellStyle name="20% - Accent5 16" xfId="594"/>
    <cellStyle name="20% - Accent5 16 2" xfId="595"/>
    <cellStyle name="20% - Accent5 17" xfId="596"/>
    <cellStyle name="20% - Accent5 17 2" xfId="597"/>
    <cellStyle name="20% - Accent5 18" xfId="598"/>
    <cellStyle name="20% - Accent5 18 2" xfId="599"/>
    <cellStyle name="20% - Accent5 19" xfId="600"/>
    <cellStyle name="20% - Accent5 19 2" xfId="601"/>
    <cellStyle name="20% - Accent5 2" xfId="602"/>
    <cellStyle name="20% - Accent5 2 2" xfId="603"/>
    <cellStyle name="20% - Accent5 2 2 2" xfId="604"/>
    <cellStyle name="20% - Accent5 2 3" xfId="605"/>
    <cellStyle name="20% - Accent5 2 3 2" xfId="606"/>
    <cellStyle name="20% - Accent5 2 4" xfId="607"/>
    <cellStyle name="20% - Accent5 20" xfId="608"/>
    <cellStyle name="20% - Accent5 20 2" xfId="609"/>
    <cellStyle name="20% - Accent5 21" xfId="610"/>
    <cellStyle name="20% - Accent5 21 2" xfId="611"/>
    <cellStyle name="20% - Accent5 22" xfId="612"/>
    <cellStyle name="20% - Accent5 22 2" xfId="613"/>
    <cellStyle name="20% - Accent5 23" xfId="614"/>
    <cellStyle name="20% - Accent5 23 2" xfId="615"/>
    <cellStyle name="20% - Accent5 24" xfId="616"/>
    <cellStyle name="20% - Accent5 24 2" xfId="617"/>
    <cellStyle name="20% - Accent5 25" xfId="618"/>
    <cellStyle name="20% - Accent5 25 2" xfId="619"/>
    <cellStyle name="20% - Accent5 26" xfId="620"/>
    <cellStyle name="20% - Accent5 26 2" xfId="621"/>
    <cellStyle name="20% - Accent5 27" xfId="622"/>
    <cellStyle name="20% - Accent5 27 2" xfId="623"/>
    <cellStyle name="20% - Accent5 27 3" xfId="624"/>
    <cellStyle name="20% - Accent5 27 4" xfId="625"/>
    <cellStyle name="20% - Accent5 27 5" xfId="626"/>
    <cellStyle name="20% - Accent5 27 6" xfId="627"/>
    <cellStyle name="20% - Accent5 28" xfId="628"/>
    <cellStyle name="20% - Accent5 29" xfId="629"/>
    <cellStyle name="20% - Accent5 3" xfId="630"/>
    <cellStyle name="20% - Accent5 3 2" xfId="631"/>
    <cellStyle name="20% - Accent5 30" xfId="632"/>
    <cellStyle name="20% - Accent5 31" xfId="633"/>
    <cellStyle name="20% - Accent5 32" xfId="3966"/>
    <cellStyle name="20% - Accent5 32 2" xfId="5295"/>
    <cellStyle name="20% - Accent5 32 3" xfId="5909"/>
    <cellStyle name="20% - Accent5 33" xfId="4168"/>
    <cellStyle name="20% - Accent5 33 2" xfId="5401"/>
    <cellStyle name="20% - Accent5 33 3" xfId="6015"/>
    <cellStyle name="20% - Accent5 34" xfId="4512"/>
    <cellStyle name="20% - Accent5 34 2" xfId="5577"/>
    <cellStyle name="20% - Accent5 34 3" xfId="6189"/>
    <cellStyle name="20% - Accent5 35" xfId="4227"/>
    <cellStyle name="20% - Accent5 35 2" xfId="5445"/>
    <cellStyle name="20% - Accent5 35 3" xfId="6058"/>
    <cellStyle name="20% - Accent5 36" xfId="4528"/>
    <cellStyle name="20% - Accent5 36 2" xfId="5593"/>
    <cellStyle name="20% - Accent5 36 3" xfId="6204"/>
    <cellStyle name="20% - Accent5 37" xfId="4638"/>
    <cellStyle name="20% - Accent5 37 2" xfId="5664"/>
    <cellStyle name="20% - Accent5 37 3" xfId="6274"/>
    <cellStyle name="20% - Accent5 38" xfId="4525"/>
    <cellStyle name="20% - Accent5 38 2" xfId="5590"/>
    <cellStyle name="20% - Accent5 38 3" xfId="6201"/>
    <cellStyle name="20% - Accent5 39" xfId="4714"/>
    <cellStyle name="20% - Accent5 39 2" xfId="5723"/>
    <cellStyle name="20% - Accent5 39 3" xfId="6333"/>
    <cellStyle name="20% - Accent5 4" xfId="634"/>
    <cellStyle name="20% - Accent5 4 2" xfId="635"/>
    <cellStyle name="20% - Accent5 40" xfId="4627"/>
    <cellStyle name="20% - Accent5 40 2" xfId="5655"/>
    <cellStyle name="20% - Accent5 40 3" xfId="6265"/>
    <cellStyle name="20% - Accent5 41" xfId="4740"/>
    <cellStyle name="20% - Accent5 41 2" xfId="5743"/>
    <cellStyle name="20% - Accent5 41 3" xfId="6353"/>
    <cellStyle name="20% - Accent5 42" xfId="4783"/>
    <cellStyle name="20% - Accent5 42 2" xfId="5776"/>
    <cellStyle name="20% - Accent5 42 3" xfId="6386"/>
    <cellStyle name="20% - Accent5 43" xfId="4802"/>
    <cellStyle name="20% - Accent5 43 2" xfId="5788"/>
    <cellStyle name="20% - Accent5 43 3" xfId="6398"/>
    <cellStyle name="20% - Accent5 44" xfId="4838"/>
    <cellStyle name="20% - Accent5 44 2" xfId="5808"/>
    <cellStyle name="20% - Accent5 44 3" xfId="6418"/>
    <cellStyle name="20% - Accent5 45" xfId="4864"/>
    <cellStyle name="20% - Accent5 45 2" xfId="5815"/>
    <cellStyle name="20% - Accent5 45 3" xfId="6425"/>
    <cellStyle name="20% - Accent5 46" xfId="4880"/>
    <cellStyle name="20% - Accent5 47" xfId="4895"/>
    <cellStyle name="20% - Accent5 5" xfId="636"/>
    <cellStyle name="20% - Accent5 5 2" xfId="637"/>
    <cellStyle name="20% - Accent5 6" xfId="638"/>
    <cellStyle name="20% - Accent5 6 2" xfId="639"/>
    <cellStyle name="20% - Accent5 7" xfId="640"/>
    <cellStyle name="20% - Accent5 7 2" xfId="641"/>
    <cellStyle name="20% - Accent5 8" xfId="642"/>
    <cellStyle name="20% - Accent5 8 2" xfId="643"/>
    <cellStyle name="20% - Accent5 9" xfId="644"/>
    <cellStyle name="20% - Accent5 9 2" xfId="645"/>
    <cellStyle name="20% - Accent6" xfId="646"/>
    <cellStyle name="20% - Accent6 10" xfId="647"/>
    <cellStyle name="20% - Accent6 10 2" xfId="648"/>
    <cellStyle name="20% - Accent6 11" xfId="649"/>
    <cellStyle name="20% - Accent6 11 2" xfId="650"/>
    <cellStyle name="20% - Accent6 12" xfId="651"/>
    <cellStyle name="20% - Accent6 12 2" xfId="652"/>
    <cellStyle name="20% - Accent6 13" xfId="653"/>
    <cellStyle name="20% - Accent6 13 2" xfId="654"/>
    <cellStyle name="20% - Accent6 14" xfId="655"/>
    <cellStyle name="20% - Accent6 14 2" xfId="656"/>
    <cellStyle name="20% - Accent6 15" xfId="657"/>
    <cellStyle name="20% - Accent6 15 2" xfId="658"/>
    <cellStyle name="20% - Accent6 16" xfId="659"/>
    <cellStyle name="20% - Accent6 16 2" xfId="660"/>
    <cellStyle name="20% - Accent6 17" xfId="661"/>
    <cellStyle name="20% - Accent6 17 2" xfId="662"/>
    <cellStyle name="20% - Accent6 18" xfId="663"/>
    <cellStyle name="20% - Accent6 18 2" xfId="664"/>
    <cellStyle name="20% - Accent6 19" xfId="665"/>
    <cellStyle name="20% - Accent6 19 2" xfId="666"/>
    <cellStyle name="20% - Accent6 2" xfId="667"/>
    <cellStyle name="20% - Accent6 2 2" xfId="668"/>
    <cellStyle name="20% - Accent6 2 2 2" xfId="669"/>
    <cellStyle name="20% - Accent6 2 3" xfId="670"/>
    <cellStyle name="20% - Accent6 2 3 2" xfId="671"/>
    <cellStyle name="20% - Accent6 2 4" xfId="672"/>
    <cellStyle name="20% - Accent6 2_U625 2nd Row 702K" xfId="673"/>
    <cellStyle name="20% - Accent6 20" xfId="674"/>
    <cellStyle name="20% - Accent6 20 2" xfId="675"/>
    <cellStyle name="20% - Accent6 21" xfId="676"/>
    <cellStyle name="20% - Accent6 21 2" xfId="677"/>
    <cellStyle name="20% - Accent6 22" xfId="678"/>
    <cellStyle name="20% - Accent6 22 2" xfId="679"/>
    <cellStyle name="20% - Accent6 23" xfId="680"/>
    <cellStyle name="20% - Accent6 23 2" xfId="681"/>
    <cellStyle name="20% - Accent6 24" xfId="682"/>
    <cellStyle name="20% - Accent6 24 2" xfId="683"/>
    <cellStyle name="20% - Accent6 25" xfId="684"/>
    <cellStyle name="20% - Accent6 25 2" xfId="685"/>
    <cellStyle name="20% - Accent6 26" xfId="686"/>
    <cellStyle name="20% - Accent6 26 2" xfId="687"/>
    <cellStyle name="20% - Accent6 27" xfId="688"/>
    <cellStyle name="20% - Accent6 27 2" xfId="689"/>
    <cellStyle name="20% - Accent6 27 3" xfId="690"/>
    <cellStyle name="20% - Accent6 27 4" xfId="691"/>
    <cellStyle name="20% - Accent6 27 5" xfId="692"/>
    <cellStyle name="20% - Accent6 27 6" xfId="693"/>
    <cellStyle name="20% - Accent6 28" xfId="694"/>
    <cellStyle name="20% - Accent6 29" xfId="695"/>
    <cellStyle name="20% - Accent6 3" xfId="696"/>
    <cellStyle name="20% - Accent6 3 2" xfId="697"/>
    <cellStyle name="20% - Accent6 30" xfId="698"/>
    <cellStyle name="20% - Accent6 31" xfId="699"/>
    <cellStyle name="20% - Accent6 32" xfId="3967"/>
    <cellStyle name="20% - Accent6 32 2" xfId="5296"/>
    <cellStyle name="20% - Accent6 32 3" xfId="5910"/>
    <cellStyle name="20% - Accent6 33" xfId="4167"/>
    <cellStyle name="20% - Accent6 33 2" xfId="5400"/>
    <cellStyle name="20% - Accent6 33 3" xfId="6014"/>
    <cellStyle name="20% - Accent6 34" xfId="4511"/>
    <cellStyle name="20% - Accent6 34 2" xfId="5576"/>
    <cellStyle name="20% - Accent6 34 3" xfId="6188"/>
    <cellStyle name="20% - Accent6 35" xfId="4226"/>
    <cellStyle name="20% - Accent6 35 2" xfId="5444"/>
    <cellStyle name="20% - Accent6 35 3" xfId="6057"/>
    <cellStyle name="20% - Accent6 36" xfId="4527"/>
    <cellStyle name="20% - Accent6 36 2" xfId="5592"/>
    <cellStyle name="20% - Accent6 36 3" xfId="6203"/>
    <cellStyle name="20% - Accent6 37" xfId="4637"/>
    <cellStyle name="20% - Accent6 37 2" xfId="5663"/>
    <cellStyle name="20% - Accent6 37 3" xfId="6273"/>
    <cellStyle name="20% - Accent6 38" xfId="4524"/>
    <cellStyle name="20% - Accent6 38 2" xfId="5589"/>
    <cellStyle name="20% - Accent6 38 3" xfId="6200"/>
    <cellStyle name="20% - Accent6 39" xfId="4713"/>
    <cellStyle name="20% - Accent6 39 2" xfId="5722"/>
    <cellStyle name="20% - Accent6 39 3" xfId="6332"/>
    <cellStyle name="20% - Accent6 4" xfId="700"/>
    <cellStyle name="20% - Accent6 4 2" xfId="701"/>
    <cellStyle name="20% - Accent6 40" xfId="4626"/>
    <cellStyle name="20% - Accent6 40 2" xfId="5654"/>
    <cellStyle name="20% - Accent6 40 3" xfId="6264"/>
    <cellStyle name="20% - Accent6 41" xfId="4736"/>
    <cellStyle name="20% - Accent6 41 2" xfId="5742"/>
    <cellStyle name="20% - Accent6 41 3" xfId="6352"/>
    <cellStyle name="20% - Accent6 42" xfId="4782"/>
    <cellStyle name="20% - Accent6 42 2" xfId="5775"/>
    <cellStyle name="20% - Accent6 42 3" xfId="6385"/>
    <cellStyle name="20% - Accent6 43" xfId="4801"/>
    <cellStyle name="20% - Accent6 43 2" xfId="5787"/>
    <cellStyle name="20% - Accent6 43 3" xfId="6397"/>
    <cellStyle name="20% - Accent6 44" xfId="4837"/>
    <cellStyle name="20% - Accent6 44 2" xfId="5807"/>
    <cellStyle name="20% - Accent6 44 3" xfId="6417"/>
    <cellStyle name="20% - Accent6 45" xfId="4863"/>
    <cellStyle name="20% - Accent6 45 2" xfId="5814"/>
    <cellStyle name="20% - Accent6 45 3" xfId="6424"/>
    <cellStyle name="20% - Accent6 46" xfId="4879"/>
    <cellStyle name="20% - Accent6 47" xfId="4894"/>
    <cellStyle name="20% - Accent6 5" xfId="702"/>
    <cellStyle name="20% - Accent6 5 2" xfId="703"/>
    <cellStyle name="20% - Accent6 6" xfId="704"/>
    <cellStyle name="20% - Accent6 6 2" xfId="705"/>
    <cellStyle name="20% - Accent6 7" xfId="706"/>
    <cellStyle name="20% - Accent6 7 2" xfId="707"/>
    <cellStyle name="20% - Accent6 8" xfId="708"/>
    <cellStyle name="20% - Accent6 8 2" xfId="709"/>
    <cellStyle name="20% - Accent6 9" xfId="710"/>
    <cellStyle name="20% - Accent6 9 2" xfId="711"/>
    <cellStyle name="20% - Akzent1" xfId="712"/>
    <cellStyle name="20% - Akzent1 2" xfId="713"/>
    <cellStyle name="20% - Akzent2" xfId="714"/>
    <cellStyle name="20% - Akzent2 2" xfId="715"/>
    <cellStyle name="20% - Akzent3" xfId="716"/>
    <cellStyle name="20% - Akzent3 2" xfId="717"/>
    <cellStyle name="20% - Akzent4" xfId="718"/>
    <cellStyle name="20% - Akzent4 2" xfId="719"/>
    <cellStyle name="20% - Akzent5" xfId="720"/>
    <cellStyle name="20% - Akzent5 2" xfId="721"/>
    <cellStyle name="20% - Akzent6" xfId="722"/>
    <cellStyle name="20% - Akzent6 2" xfId="723"/>
    <cellStyle name="20% - Énfasis1" xfId="724"/>
    <cellStyle name="20% - Énfasis1 2" xfId="725"/>
    <cellStyle name="20% - Énfasis2" xfId="726"/>
    <cellStyle name="20% - Énfasis2 2" xfId="727"/>
    <cellStyle name="20% - Énfasis3" xfId="728"/>
    <cellStyle name="20% - Énfasis3 2" xfId="729"/>
    <cellStyle name="20% - Énfasis4" xfId="730"/>
    <cellStyle name="20% - Énfasis4 2" xfId="731"/>
    <cellStyle name="20% - Énfasis5" xfId="732"/>
    <cellStyle name="20% - Énfasis5 2" xfId="733"/>
    <cellStyle name="20% - Énfasis6" xfId="734"/>
    <cellStyle name="20% - Énfasis6 2" xfId="735"/>
    <cellStyle name="20% - 강조색1" xfId="3968"/>
    <cellStyle name="20% - 강조색1 2" xfId="3969"/>
    <cellStyle name="20% - 강조색1 3" xfId="3970"/>
    <cellStyle name="20% - 강조색1 4" xfId="3971"/>
    <cellStyle name="20% - 강조색2" xfId="3972"/>
    <cellStyle name="20% - 강조색2 2" xfId="3973"/>
    <cellStyle name="20% - 강조색2 3" xfId="3974"/>
    <cellStyle name="20% - 강조색2 4" xfId="3975"/>
    <cellStyle name="20% - 강조색3" xfId="3976"/>
    <cellStyle name="20% - 강조색3 2" xfId="3977"/>
    <cellStyle name="20% - 강조색3 3" xfId="3978"/>
    <cellStyle name="20% - 강조색3 4" xfId="3979"/>
    <cellStyle name="20% - 강조색4" xfId="3980"/>
    <cellStyle name="20% - 강조색4 2" xfId="3981"/>
    <cellStyle name="20% - 강조색4 3" xfId="3982"/>
    <cellStyle name="20% - 강조색4 4" xfId="3983"/>
    <cellStyle name="20% - 강조색5" xfId="3984"/>
    <cellStyle name="20% - 강조색5 2" xfId="3985"/>
    <cellStyle name="20% - 강조색5 3" xfId="3986"/>
    <cellStyle name="20% - 강조색5 4" xfId="3987"/>
    <cellStyle name="20% - 강조색6" xfId="3988"/>
    <cellStyle name="20% - 강조색6 2" xfId="3989"/>
    <cellStyle name="20% - 강조색6 3" xfId="3990"/>
    <cellStyle name="20% - 강조색6 4" xfId="3991"/>
    <cellStyle name="2stellig" xfId="736"/>
    <cellStyle name="2-stellig" xfId="737"/>
    <cellStyle name="2-stellig 2" xfId="738"/>
    <cellStyle name="2-stellig 2 2" xfId="739"/>
    <cellStyle name="2-stellig 2 2 2" xfId="740"/>
    <cellStyle name="2-stellig 2 2 3" xfId="741"/>
    <cellStyle name="2-stellig 2 2 4" xfId="742"/>
    <cellStyle name="2-stellig 2 2 5" xfId="743"/>
    <cellStyle name="2-stellig 2 2 6" xfId="744"/>
    <cellStyle name="2-stellig 2 3" xfId="745"/>
    <cellStyle name="2-stellig 2 4" xfId="746"/>
    <cellStyle name="2-stellig 2 5" xfId="747"/>
    <cellStyle name="2-stellig 2 6" xfId="748"/>
    <cellStyle name="2-stellig 3" xfId="749"/>
    <cellStyle name="2-stellig 4" xfId="750"/>
    <cellStyle name="2-stellig 5" xfId="751"/>
    <cellStyle name="2-stellig 6" xfId="752"/>
    <cellStyle name="2-stellig 7" xfId="753"/>
    <cellStyle name="2-stellig DM" xfId="754"/>
    <cellStyle name="2-stellig_0305 _Business Case Feasibilitysutdy" xfId="755"/>
    <cellStyle name="3mitP" xfId="756"/>
    <cellStyle name="3mitP 2" xfId="757"/>
    <cellStyle name="3stellig" xfId="758"/>
    <cellStyle name="3-stellig" xfId="759"/>
    <cellStyle name="40% - Accent1" xfId="760"/>
    <cellStyle name="40% - Accent1 10" xfId="761"/>
    <cellStyle name="40% - Accent1 10 2" xfId="762"/>
    <cellStyle name="40% - Accent1 11" xfId="763"/>
    <cellStyle name="40% - Accent1 11 2" xfId="764"/>
    <cellStyle name="40% - Accent1 12" xfId="765"/>
    <cellStyle name="40% - Accent1 12 2" xfId="766"/>
    <cellStyle name="40% - Accent1 13" xfId="767"/>
    <cellStyle name="40% - Accent1 13 2" xfId="768"/>
    <cellStyle name="40% - Accent1 14" xfId="769"/>
    <cellStyle name="40% - Accent1 14 2" xfId="770"/>
    <cellStyle name="40% - Accent1 15" xfId="771"/>
    <cellStyle name="40% - Accent1 15 2" xfId="772"/>
    <cellStyle name="40% - Accent1 16" xfId="773"/>
    <cellStyle name="40% - Accent1 16 2" xfId="774"/>
    <cellStyle name="40% - Accent1 17" xfId="775"/>
    <cellStyle name="40% - Accent1 17 2" xfId="776"/>
    <cellStyle name="40% - Accent1 18" xfId="777"/>
    <cellStyle name="40% - Accent1 18 2" xfId="778"/>
    <cellStyle name="40% - Accent1 19" xfId="779"/>
    <cellStyle name="40% - Accent1 19 2" xfId="780"/>
    <cellStyle name="40% - Accent1 2" xfId="781"/>
    <cellStyle name="40% - Accent1 2 2" xfId="782"/>
    <cellStyle name="40% - Accent1 2 2 2" xfId="783"/>
    <cellStyle name="40% - Accent1 2 3" xfId="784"/>
    <cellStyle name="40% - Accent1 2 3 2" xfId="785"/>
    <cellStyle name="40% - Accent1 2 4" xfId="786"/>
    <cellStyle name="40% - Accent1 2_U625 2nd Row 702K" xfId="787"/>
    <cellStyle name="40% - Accent1 20" xfId="788"/>
    <cellStyle name="40% - Accent1 20 2" xfId="789"/>
    <cellStyle name="40% - Accent1 21" xfId="790"/>
    <cellStyle name="40% - Accent1 21 2" xfId="791"/>
    <cellStyle name="40% - Accent1 22" xfId="792"/>
    <cellStyle name="40% - Accent1 22 2" xfId="793"/>
    <cellStyle name="40% - Accent1 23" xfId="794"/>
    <cellStyle name="40% - Accent1 23 2" xfId="795"/>
    <cellStyle name="40% - Accent1 24" xfId="796"/>
    <cellStyle name="40% - Accent1 24 2" xfId="797"/>
    <cellStyle name="40% - Accent1 25" xfId="798"/>
    <cellStyle name="40% - Accent1 25 2" xfId="799"/>
    <cellStyle name="40% - Accent1 26" xfId="800"/>
    <cellStyle name="40% - Accent1 26 2" xfId="801"/>
    <cellStyle name="40% - Accent1 27" xfId="802"/>
    <cellStyle name="40% - Accent1 27 2" xfId="803"/>
    <cellStyle name="40% - Accent1 27 3" xfId="804"/>
    <cellStyle name="40% - Accent1 27 4" xfId="805"/>
    <cellStyle name="40% - Accent1 27 5" xfId="806"/>
    <cellStyle name="40% - Accent1 27 6" xfId="807"/>
    <cellStyle name="40% - Accent1 28" xfId="808"/>
    <cellStyle name="40% - Accent1 29" xfId="809"/>
    <cellStyle name="40% - Accent1 3" xfId="810"/>
    <cellStyle name="40% - Accent1 3 2" xfId="811"/>
    <cellStyle name="40% - Accent1 30" xfId="812"/>
    <cellStyle name="40% - Accent1 31" xfId="813"/>
    <cellStyle name="40% - Accent1 32" xfId="3997"/>
    <cellStyle name="40% - Accent1 32 2" xfId="5302"/>
    <cellStyle name="40% - Accent1 32 3" xfId="5916"/>
    <cellStyle name="40% - Accent1 33" xfId="4136"/>
    <cellStyle name="40% - Accent1 33 2" xfId="5376"/>
    <cellStyle name="40% - Accent1 33 3" xfId="5990"/>
    <cellStyle name="40% - Accent1 34" xfId="4483"/>
    <cellStyle name="40% - Accent1 34 2" xfId="5553"/>
    <cellStyle name="40% - Accent1 34 3" xfId="6165"/>
    <cellStyle name="40% - Accent1 35" xfId="4192"/>
    <cellStyle name="40% - Accent1 35 2" xfId="5424"/>
    <cellStyle name="40% - Accent1 35 3" xfId="6038"/>
    <cellStyle name="40% - Accent1 36" xfId="4493"/>
    <cellStyle name="40% - Accent1 36 2" xfId="5563"/>
    <cellStyle name="40% - Accent1 36 3" xfId="6175"/>
    <cellStyle name="40% - Accent1 37" xfId="4596"/>
    <cellStyle name="40% - Accent1 37 2" xfId="5637"/>
    <cellStyle name="40% - Accent1 37 3" xfId="6247"/>
    <cellStyle name="40% - Accent1 38" xfId="4473"/>
    <cellStyle name="40% - Accent1 38 2" xfId="5543"/>
    <cellStyle name="40% - Accent1 38 3" xfId="6155"/>
    <cellStyle name="40% - Accent1 39" xfId="4690"/>
    <cellStyle name="40% - Accent1 39 2" xfId="5707"/>
    <cellStyle name="40% - Accent1 39 3" xfId="6317"/>
    <cellStyle name="40% - Accent1 4" xfId="814"/>
    <cellStyle name="40% - Accent1 4 2" xfId="815"/>
    <cellStyle name="40% - Accent1 40" xfId="4546"/>
    <cellStyle name="40% - Accent1 40 2" xfId="5606"/>
    <cellStyle name="40% - Accent1 40 3" xfId="6217"/>
    <cellStyle name="40% - Accent1 41" xfId="4723"/>
    <cellStyle name="40% - Accent1 41 2" xfId="5732"/>
    <cellStyle name="40% - Accent1 41 3" xfId="6342"/>
    <cellStyle name="40% - Accent1 42" xfId="4763"/>
    <cellStyle name="40% - Accent1 42 2" xfId="5765"/>
    <cellStyle name="40% - Accent1 42 3" xfId="6375"/>
    <cellStyle name="40% - Accent1 43" xfId="4753"/>
    <cellStyle name="40% - Accent1 43 2" xfId="5756"/>
    <cellStyle name="40% - Accent1 43 3" xfId="6366"/>
    <cellStyle name="40% - Accent1 44" xfId="4821"/>
    <cellStyle name="40% - Accent1 44 2" xfId="5803"/>
    <cellStyle name="40% - Accent1 44 3" xfId="6413"/>
    <cellStyle name="40% - Accent1 45" xfId="4812"/>
    <cellStyle name="40% - Accent1 45 2" xfId="5798"/>
    <cellStyle name="40% - Accent1 45 3" xfId="6408"/>
    <cellStyle name="40% - Accent1 46" xfId="4874"/>
    <cellStyle name="40% - Accent1 47" xfId="4889"/>
    <cellStyle name="40% - Accent1 5" xfId="816"/>
    <cellStyle name="40% - Accent1 5 2" xfId="817"/>
    <cellStyle name="40% - Accent1 6" xfId="818"/>
    <cellStyle name="40% - Accent1 6 2" xfId="819"/>
    <cellStyle name="40% - Accent1 7" xfId="820"/>
    <cellStyle name="40% - Accent1 7 2" xfId="821"/>
    <cellStyle name="40% - Accent1 8" xfId="822"/>
    <cellStyle name="40% - Accent1 8 2" xfId="823"/>
    <cellStyle name="40% - Accent1 9" xfId="824"/>
    <cellStyle name="40% - Accent1 9 2" xfId="825"/>
    <cellStyle name="40% - Accent2" xfId="826"/>
    <cellStyle name="40% - Accent2 10" xfId="827"/>
    <cellStyle name="40% - Accent2 10 2" xfId="828"/>
    <cellStyle name="40% - Accent2 11" xfId="829"/>
    <cellStyle name="40% - Accent2 11 2" xfId="830"/>
    <cellStyle name="40% - Accent2 12" xfId="831"/>
    <cellStyle name="40% - Accent2 12 2" xfId="832"/>
    <cellStyle name="40% - Accent2 13" xfId="833"/>
    <cellStyle name="40% - Accent2 13 2" xfId="834"/>
    <cellStyle name="40% - Accent2 14" xfId="835"/>
    <cellStyle name="40% - Accent2 14 2" xfId="836"/>
    <cellStyle name="40% - Accent2 15" xfId="837"/>
    <cellStyle name="40% - Accent2 15 2" xfId="838"/>
    <cellStyle name="40% - Accent2 16" xfId="839"/>
    <cellStyle name="40% - Accent2 16 2" xfId="840"/>
    <cellStyle name="40% - Accent2 17" xfId="841"/>
    <cellStyle name="40% - Accent2 17 2" xfId="842"/>
    <cellStyle name="40% - Accent2 18" xfId="843"/>
    <cellStyle name="40% - Accent2 18 2" xfId="844"/>
    <cellStyle name="40% - Accent2 19" xfId="845"/>
    <cellStyle name="40% - Accent2 19 2" xfId="846"/>
    <cellStyle name="40% - Accent2 2" xfId="847"/>
    <cellStyle name="40% - Accent2 2 2" xfId="848"/>
    <cellStyle name="40% - Accent2 2 2 2" xfId="849"/>
    <cellStyle name="40% - Accent2 2 3" xfId="850"/>
    <cellStyle name="40% - Accent2 2 3 2" xfId="851"/>
    <cellStyle name="40% - Accent2 2 4" xfId="852"/>
    <cellStyle name="40% - Accent2 20" xfId="853"/>
    <cellStyle name="40% - Accent2 20 2" xfId="854"/>
    <cellStyle name="40% - Accent2 21" xfId="855"/>
    <cellStyle name="40% - Accent2 21 2" xfId="856"/>
    <cellStyle name="40% - Accent2 22" xfId="857"/>
    <cellStyle name="40% - Accent2 22 2" xfId="858"/>
    <cellStyle name="40% - Accent2 23" xfId="859"/>
    <cellStyle name="40% - Accent2 23 2" xfId="860"/>
    <cellStyle name="40% - Accent2 24" xfId="861"/>
    <cellStyle name="40% - Accent2 24 2" xfId="862"/>
    <cellStyle name="40% - Accent2 25" xfId="863"/>
    <cellStyle name="40% - Accent2 25 2" xfId="864"/>
    <cellStyle name="40% - Accent2 26" xfId="865"/>
    <cellStyle name="40% - Accent2 26 2" xfId="866"/>
    <cellStyle name="40% - Accent2 27" xfId="867"/>
    <cellStyle name="40% - Accent2 27 2" xfId="868"/>
    <cellStyle name="40% - Accent2 27 3" xfId="869"/>
    <cellStyle name="40% - Accent2 27 4" xfId="870"/>
    <cellStyle name="40% - Accent2 27 5" xfId="871"/>
    <cellStyle name="40% - Accent2 27 6" xfId="872"/>
    <cellStyle name="40% - Accent2 28" xfId="873"/>
    <cellStyle name="40% - Accent2 29" xfId="874"/>
    <cellStyle name="40% - Accent2 3" xfId="875"/>
    <cellStyle name="40% - Accent2 3 2" xfId="876"/>
    <cellStyle name="40% - Accent2 30" xfId="877"/>
    <cellStyle name="40% - Accent2 31" xfId="878"/>
    <cellStyle name="40% - Accent2 32" xfId="3998"/>
    <cellStyle name="40% - Accent2 32 2" xfId="5303"/>
    <cellStyle name="40% - Accent2 32 3" xfId="5917"/>
    <cellStyle name="40% - Accent2 33" xfId="4135"/>
    <cellStyle name="40% - Accent2 33 2" xfId="5375"/>
    <cellStyle name="40% - Accent2 33 3" xfId="5989"/>
    <cellStyle name="40% - Accent2 34" xfId="4482"/>
    <cellStyle name="40% - Accent2 34 2" xfId="5552"/>
    <cellStyle name="40% - Accent2 34 3" xfId="6164"/>
    <cellStyle name="40% - Accent2 35" xfId="4191"/>
    <cellStyle name="40% - Accent2 35 2" xfId="5423"/>
    <cellStyle name="40% - Accent2 35 3" xfId="6037"/>
    <cellStyle name="40% - Accent2 36" xfId="4492"/>
    <cellStyle name="40% - Accent2 36 2" xfId="5562"/>
    <cellStyle name="40% - Accent2 36 3" xfId="6174"/>
    <cellStyle name="40% - Accent2 37" xfId="4595"/>
    <cellStyle name="40% - Accent2 37 2" xfId="5636"/>
    <cellStyle name="40% - Accent2 37 3" xfId="6246"/>
    <cellStyle name="40% - Accent2 38" xfId="4472"/>
    <cellStyle name="40% - Accent2 38 2" xfId="5542"/>
    <cellStyle name="40% - Accent2 38 3" xfId="6154"/>
    <cellStyle name="40% - Accent2 39" xfId="4689"/>
    <cellStyle name="40% - Accent2 39 2" xfId="5706"/>
    <cellStyle name="40% - Accent2 39 3" xfId="6316"/>
    <cellStyle name="40% - Accent2 4" xfId="879"/>
    <cellStyle name="40% - Accent2 4 2" xfId="880"/>
    <cellStyle name="40% - Accent2 40" xfId="4545"/>
    <cellStyle name="40% - Accent2 40 2" xfId="5605"/>
    <cellStyle name="40% - Accent2 40 3" xfId="6216"/>
    <cellStyle name="40% - Accent2 41" xfId="4722"/>
    <cellStyle name="40% - Accent2 41 2" xfId="5731"/>
    <cellStyle name="40% - Accent2 41 3" xfId="6341"/>
    <cellStyle name="40% - Accent2 42" xfId="4762"/>
    <cellStyle name="40% - Accent2 42 2" xfId="5764"/>
    <cellStyle name="40% - Accent2 42 3" xfId="6374"/>
    <cellStyle name="40% - Accent2 43" xfId="4752"/>
    <cellStyle name="40% - Accent2 43 2" xfId="5755"/>
    <cellStyle name="40% - Accent2 43 3" xfId="6365"/>
    <cellStyle name="40% - Accent2 44" xfId="4820"/>
    <cellStyle name="40% - Accent2 44 2" xfId="5802"/>
    <cellStyle name="40% - Accent2 44 3" xfId="6412"/>
    <cellStyle name="40% - Accent2 45" xfId="4811"/>
    <cellStyle name="40% - Accent2 45 2" xfId="5797"/>
    <cellStyle name="40% - Accent2 45 3" xfId="6407"/>
    <cellStyle name="40% - Accent2 46" xfId="4848"/>
    <cellStyle name="40% - Accent2 47" xfId="4888"/>
    <cellStyle name="40% - Accent2 5" xfId="881"/>
    <cellStyle name="40% - Accent2 5 2" xfId="882"/>
    <cellStyle name="40% - Accent2 6" xfId="883"/>
    <cellStyle name="40% - Accent2 6 2" xfId="884"/>
    <cellStyle name="40% - Accent2 7" xfId="885"/>
    <cellStyle name="40% - Accent2 7 2" xfId="886"/>
    <cellStyle name="40% - Accent2 8" xfId="887"/>
    <cellStyle name="40% - Accent2 8 2" xfId="888"/>
    <cellStyle name="40% - Accent2 9" xfId="889"/>
    <cellStyle name="40% - Accent2 9 2" xfId="890"/>
    <cellStyle name="40% - Accent3" xfId="891"/>
    <cellStyle name="40% - Accent3 10" xfId="892"/>
    <cellStyle name="40% - Accent3 10 2" xfId="893"/>
    <cellStyle name="40% - Accent3 11" xfId="894"/>
    <cellStyle name="40% - Accent3 11 2" xfId="895"/>
    <cellStyle name="40% - Accent3 12" xfId="896"/>
    <cellStyle name="40% - Accent3 12 2" xfId="897"/>
    <cellStyle name="40% - Accent3 13" xfId="898"/>
    <cellStyle name="40% - Accent3 13 2" xfId="899"/>
    <cellStyle name="40% - Accent3 14" xfId="900"/>
    <cellStyle name="40% - Accent3 14 2" xfId="901"/>
    <cellStyle name="40% - Accent3 15" xfId="902"/>
    <cellStyle name="40% - Accent3 15 2" xfId="903"/>
    <cellStyle name="40% - Accent3 16" xfId="904"/>
    <cellStyle name="40% - Accent3 16 2" xfId="905"/>
    <cellStyle name="40% - Accent3 17" xfId="906"/>
    <cellStyle name="40% - Accent3 17 2" xfId="907"/>
    <cellStyle name="40% - Accent3 18" xfId="908"/>
    <cellStyle name="40% - Accent3 18 2" xfId="909"/>
    <cellStyle name="40% - Accent3 19" xfId="910"/>
    <cellStyle name="40% - Accent3 19 2" xfId="911"/>
    <cellStyle name="40% - Accent3 2" xfId="912"/>
    <cellStyle name="40% - Accent3 2 2" xfId="913"/>
    <cellStyle name="40% - Accent3 2 2 2" xfId="914"/>
    <cellStyle name="40% - Accent3 2 3" xfId="915"/>
    <cellStyle name="40% - Accent3 2 3 2" xfId="916"/>
    <cellStyle name="40% - Accent3 2 4" xfId="917"/>
    <cellStyle name="40% - Accent3 2_U625 2nd Row 702K" xfId="918"/>
    <cellStyle name="40% - Accent3 20" xfId="919"/>
    <cellStyle name="40% - Accent3 20 2" xfId="920"/>
    <cellStyle name="40% - Accent3 21" xfId="921"/>
    <cellStyle name="40% - Accent3 21 2" xfId="922"/>
    <cellStyle name="40% - Accent3 22" xfId="923"/>
    <cellStyle name="40% - Accent3 22 2" xfId="924"/>
    <cellStyle name="40% - Accent3 23" xfId="925"/>
    <cellStyle name="40% - Accent3 23 2" xfId="926"/>
    <cellStyle name="40% - Accent3 24" xfId="927"/>
    <cellStyle name="40% - Accent3 24 2" xfId="928"/>
    <cellStyle name="40% - Accent3 25" xfId="929"/>
    <cellStyle name="40% - Accent3 25 2" xfId="930"/>
    <cellStyle name="40% - Accent3 26" xfId="931"/>
    <cellStyle name="40% - Accent3 26 2" xfId="932"/>
    <cellStyle name="40% - Accent3 27" xfId="933"/>
    <cellStyle name="40% - Accent3 27 2" xfId="934"/>
    <cellStyle name="40% - Accent3 27 3" xfId="935"/>
    <cellStyle name="40% - Accent3 27 4" xfId="936"/>
    <cellStyle name="40% - Accent3 27 5" xfId="937"/>
    <cellStyle name="40% - Accent3 27 6" xfId="938"/>
    <cellStyle name="40% - Accent3 28" xfId="939"/>
    <cellStyle name="40% - Accent3 29" xfId="940"/>
    <cellStyle name="40% - Accent3 3" xfId="941"/>
    <cellStyle name="40% - Accent3 3 2" xfId="942"/>
    <cellStyle name="40% - Accent3 30" xfId="943"/>
    <cellStyle name="40% - Accent3 31" xfId="944"/>
    <cellStyle name="40% - Accent3 32" xfId="3999"/>
    <cellStyle name="40% - Accent3 32 2" xfId="5304"/>
    <cellStyle name="40% - Accent3 32 3" xfId="5918"/>
    <cellStyle name="40% - Accent3 33" xfId="3896"/>
    <cellStyle name="40% - Accent3 33 2" xfId="5244"/>
    <cellStyle name="40% - Accent3 33 3" xfId="5858"/>
    <cellStyle name="40% - Accent3 34" xfId="4481"/>
    <cellStyle name="40% - Accent3 34 2" xfId="5551"/>
    <cellStyle name="40% - Accent3 34 3" xfId="6163"/>
    <cellStyle name="40% - Accent3 35" xfId="4190"/>
    <cellStyle name="40% - Accent3 35 2" xfId="5422"/>
    <cellStyle name="40% - Accent3 35 3" xfId="6036"/>
    <cellStyle name="40% - Accent3 36" xfId="4491"/>
    <cellStyle name="40% - Accent3 36 2" xfId="5561"/>
    <cellStyle name="40% - Accent3 36 3" xfId="6173"/>
    <cellStyle name="40% - Accent3 37" xfId="4591"/>
    <cellStyle name="40% - Accent3 37 2" xfId="5635"/>
    <cellStyle name="40% - Accent3 37 3" xfId="6245"/>
    <cellStyle name="40% - Accent3 38" xfId="4471"/>
    <cellStyle name="40% - Accent3 38 2" xfId="5541"/>
    <cellStyle name="40% - Accent3 38 3" xfId="6153"/>
    <cellStyle name="40% - Accent3 39" xfId="4688"/>
    <cellStyle name="40% - Accent3 39 2" xfId="5705"/>
    <cellStyle name="40% - Accent3 39 3" xfId="6315"/>
    <cellStyle name="40% - Accent3 4" xfId="945"/>
    <cellStyle name="40% - Accent3 4 2" xfId="946"/>
    <cellStyle name="40% - Accent3 40" xfId="4544"/>
    <cellStyle name="40% - Accent3 40 2" xfId="5604"/>
    <cellStyle name="40% - Accent3 40 3" xfId="6215"/>
    <cellStyle name="40% - Accent3 41" xfId="4721"/>
    <cellStyle name="40% - Accent3 41 2" xfId="5730"/>
    <cellStyle name="40% - Accent3 41 3" xfId="6340"/>
    <cellStyle name="40% - Accent3 42" xfId="4761"/>
    <cellStyle name="40% - Accent3 42 2" xfId="5763"/>
    <cellStyle name="40% - Accent3 42 3" xfId="6373"/>
    <cellStyle name="40% - Accent3 43" xfId="4751"/>
    <cellStyle name="40% - Accent3 43 2" xfId="5754"/>
    <cellStyle name="40% - Accent3 43 3" xfId="6364"/>
    <cellStyle name="40% - Accent3 44" xfId="4819"/>
    <cellStyle name="40% - Accent3 44 2" xfId="5801"/>
    <cellStyle name="40% - Accent3 44 3" xfId="6411"/>
    <cellStyle name="40% - Accent3 45" xfId="4810"/>
    <cellStyle name="40% - Accent3 45 2" xfId="5796"/>
    <cellStyle name="40% - Accent3 45 3" xfId="6406"/>
    <cellStyle name="40% - Accent3 46" xfId="4846"/>
    <cellStyle name="40% - Accent3 47" xfId="4887"/>
    <cellStyle name="40% - Accent3 5" xfId="947"/>
    <cellStyle name="40% - Accent3 5 2" xfId="948"/>
    <cellStyle name="40% - Accent3 6" xfId="949"/>
    <cellStyle name="40% - Accent3 6 2" xfId="950"/>
    <cellStyle name="40% - Accent3 7" xfId="951"/>
    <cellStyle name="40% - Accent3 7 2" xfId="952"/>
    <cellStyle name="40% - Accent3 8" xfId="953"/>
    <cellStyle name="40% - Accent3 8 2" xfId="954"/>
    <cellStyle name="40% - Accent3 9" xfId="955"/>
    <cellStyle name="40% - Accent3 9 2" xfId="956"/>
    <cellStyle name="40% - Accent4" xfId="957"/>
    <cellStyle name="40% - Accent4 10" xfId="958"/>
    <cellStyle name="40% - Accent4 10 2" xfId="959"/>
    <cellStyle name="40% - Accent4 11" xfId="960"/>
    <cellStyle name="40% - Accent4 11 2" xfId="961"/>
    <cellStyle name="40% - Accent4 12" xfId="962"/>
    <cellStyle name="40% - Accent4 12 2" xfId="963"/>
    <cellStyle name="40% - Accent4 13" xfId="964"/>
    <cellStyle name="40% - Accent4 13 2" xfId="965"/>
    <cellStyle name="40% - Accent4 14" xfId="966"/>
    <cellStyle name="40% - Accent4 14 2" xfId="967"/>
    <cellStyle name="40% - Accent4 15" xfId="968"/>
    <cellStyle name="40% - Accent4 15 2" xfId="969"/>
    <cellStyle name="40% - Accent4 16" xfId="970"/>
    <cellStyle name="40% - Accent4 16 2" xfId="971"/>
    <cellStyle name="40% - Accent4 17" xfId="972"/>
    <cellStyle name="40% - Accent4 17 2" xfId="973"/>
    <cellStyle name="40% - Accent4 18" xfId="974"/>
    <cellStyle name="40% - Accent4 18 2" xfId="975"/>
    <cellStyle name="40% - Accent4 19" xfId="976"/>
    <cellStyle name="40% - Accent4 19 2" xfId="977"/>
    <cellStyle name="40% - Accent4 2" xfId="978"/>
    <cellStyle name="40% - Accent4 2 2" xfId="979"/>
    <cellStyle name="40% - Accent4 2 2 2" xfId="980"/>
    <cellStyle name="40% - Accent4 2 3" xfId="981"/>
    <cellStyle name="40% - Accent4 2 3 2" xfId="982"/>
    <cellStyle name="40% - Accent4 2 4" xfId="983"/>
    <cellStyle name="40% - Accent4 2_U625 2nd Row 702K" xfId="984"/>
    <cellStyle name="40% - Accent4 20" xfId="985"/>
    <cellStyle name="40% - Accent4 20 2" xfId="986"/>
    <cellStyle name="40% - Accent4 21" xfId="987"/>
    <cellStyle name="40% - Accent4 21 2" xfId="988"/>
    <cellStyle name="40% - Accent4 22" xfId="989"/>
    <cellStyle name="40% - Accent4 22 2" xfId="990"/>
    <cellStyle name="40% - Accent4 23" xfId="991"/>
    <cellStyle name="40% - Accent4 23 2" xfId="992"/>
    <cellStyle name="40% - Accent4 24" xfId="993"/>
    <cellStyle name="40% - Accent4 24 2" xfId="994"/>
    <cellStyle name="40% - Accent4 25" xfId="995"/>
    <cellStyle name="40% - Accent4 25 2" xfId="996"/>
    <cellStyle name="40% - Accent4 26" xfId="997"/>
    <cellStyle name="40% - Accent4 26 2" xfId="998"/>
    <cellStyle name="40% - Accent4 27" xfId="999"/>
    <cellStyle name="40% - Accent4 27 2" xfId="1000"/>
    <cellStyle name="40% - Accent4 27 3" xfId="1001"/>
    <cellStyle name="40% - Accent4 27 4" xfId="1002"/>
    <cellStyle name="40% - Accent4 27 5" xfId="1003"/>
    <cellStyle name="40% - Accent4 27 6" xfId="1004"/>
    <cellStyle name="40% - Accent4 28" xfId="1005"/>
    <cellStyle name="40% - Accent4 29" xfId="1006"/>
    <cellStyle name="40% - Accent4 3" xfId="1007"/>
    <cellStyle name="40% - Accent4 3 2" xfId="1008"/>
    <cellStyle name="40% - Accent4 30" xfId="1009"/>
    <cellStyle name="40% - Accent4 31" xfId="1010"/>
    <cellStyle name="40% - Accent4 32" xfId="4000"/>
    <cellStyle name="40% - Accent4 32 2" xfId="5305"/>
    <cellStyle name="40% - Accent4 32 3" xfId="5919"/>
    <cellStyle name="40% - Accent4 33" xfId="4133"/>
    <cellStyle name="40% - Accent4 33 2" xfId="5373"/>
    <cellStyle name="40% - Accent4 33 3" xfId="5987"/>
    <cellStyle name="40% - Accent4 34" xfId="4480"/>
    <cellStyle name="40% - Accent4 34 2" xfId="5550"/>
    <cellStyle name="40% - Accent4 34 3" xfId="6162"/>
    <cellStyle name="40% - Accent4 35" xfId="4189"/>
    <cellStyle name="40% - Accent4 35 2" xfId="5421"/>
    <cellStyle name="40% - Accent4 35 3" xfId="6035"/>
    <cellStyle name="40% - Accent4 36" xfId="4490"/>
    <cellStyle name="40% - Accent4 36 2" xfId="5560"/>
    <cellStyle name="40% - Accent4 36 3" xfId="6172"/>
    <cellStyle name="40% - Accent4 37" xfId="4590"/>
    <cellStyle name="40% - Accent4 37 2" xfId="5634"/>
    <cellStyle name="40% - Accent4 37 3" xfId="6244"/>
    <cellStyle name="40% - Accent4 38" xfId="4469"/>
    <cellStyle name="40% - Accent4 38 2" xfId="5539"/>
    <cellStyle name="40% - Accent4 38 3" xfId="6151"/>
    <cellStyle name="40% - Accent4 39" xfId="4687"/>
    <cellStyle name="40% - Accent4 39 2" xfId="5704"/>
    <cellStyle name="40% - Accent4 39 3" xfId="6314"/>
    <cellStyle name="40% - Accent4 4" xfId="1011"/>
    <cellStyle name="40% - Accent4 4 2" xfId="1012"/>
    <cellStyle name="40% - Accent4 40" xfId="4540"/>
    <cellStyle name="40% - Accent4 40 2" xfId="5603"/>
    <cellStyle name="40% - Accent4 40 3" xfId="6214"/>
    <cellStyle name="40% - Accent4 41" xfId="4720"/>
    <cellStyle name="40% - Accent4 41 2" xfId="5729"/>
    <cellStyle name="40% - Accent4 41 3" xfId="6339"/>
    <cellStyle name="40% - Accent4 42" xfId="4760"/>
    <cellStyle name="40% - Accent4 42 2" xfId="5762"/>
    <cellStyle name="40% - Accent4 42 3" xfId="6372"/>
    <cellStyle name="40% - Accent4 43" xfId="4750"/>
    <cellStyle name="40% - Accent4 43 2" xfId="5753"/>
    <cellStyle name="40% - Accent4 43 3" xfId="6363"/>
    <cellStyle name="40% - Accent4 44" xfId="4818"/>
    <cellStyle name="40% - Accent4 44 2" xfId="5800"/>
    <cellStyle name="40% - Accent4 44 3" xfId="6410"/>
    <cellStyle name="40% - Accent4 45" xfId="4809"/>
    <cellStyle name="40% - Accent4 45 2" xfId="5795"/>
    <cellStyle name="40% - Accent4 45 3" xfId="6405"/>
    <cellStyle name="40% - Accent4 46" xfId="4845"/>
    <cellStyle name="40% - Accent4 47" xfId="4872"/>
    <cellStyle name="40% - Accent4 5" xfId="1013"/>
    <cellStyle name="40% - Accent4 5 2" xfId="1014"/>
    <cellStyle name="40% - Accent4 6" xfId="1015"/>
    <cellStyle name="40% - Accent4 6 2" xfId="1016"/>
    <cellStyle name="40% - Accent4 7" xfId="1017"/>
    <cellStyle name="40% - Accent4 7 2" xfId="1018"/>
    <cellStyle name="40% - Accent4 8" xfId="1019"/>
    <cellStyle name="40% - Accent4 8 2" xfId="1020"/>
    <cellStyle name="40% - Accent4 9" xfId="1021"/>
    <cellStyle name="40% - Accent4 9 2" xfId="1022"/>
    <cellStyle name="40% - Accent5" xfId="1023"/>
    <cellStyle name="40% - Accent5 10" xfId="1024"/>
    <cellStyle name="40% - Accent5 10 2" xfId="1025"/>
    <cellStyle name="40% - Accent5 11" xfId="1026"/>
    <cellStyle name="40% - Accent5 11 2" xfId="1027"/>
    <cellStyle name="40% - Accent5 12" xfId="1028"/>
    <cellStyle name="40% - Accent5 12 2" xfId="1029"/>
    <cellStyle name="40% - Accent5 13" xfId="1030"/>
    <cellStyle name="40% - Accent5 13 2" xfId="1031"/>
    <cellStyle name="40% - Accent5 14" xfId="1032"/>
    <cellStyle name="40% - Accent5 14 2" xfId="1033"/>
    <cellStyle name="40% - Accent5 15" xfId="1034"/>
    <cellStyle name="40% - Accent5 15 2" xfId="1035"/>
    <cellStyle name="40% - Accent5 16" xfId="1036"/>
    <cellStyle name="40% - Accent5 16 2" xfId="1037"/>
    <cellStyle name="40% - Accent5 17" xfId="1038"/>
    <cellStyle name="40% - Accent5 17 2" xfId="1039"/>
    <cellStyle name="40% - Accent5 18" xfId="1040"/>
    <cellStyle name="40% - Accent5 18 2" xfId="1041"/>
    <cellStyle name="40% - Accent5 19" xfId="1042"/>
    <cellStyle name="40% - Accent5 19 2" xfId="1043"/>
    <cellStyle name="40% - Accent5 2" xfId="1044"/>
    <cellStyle name="40% - Accent5 2 2" xfId="1045"/>
    <cellStyle name="40% - Accent5 2 2 2" xfId="1046"/>
    <cellStyle name="40% - Accent5 2 3" xfId="1047"/>
    <cellStyle name="40% - Accent5 2 3 2" xfId="1048"/>
    <cellStyle name="40% - Accent5 2 4" xfId="1049"/>
    <cellStyle name="40% - Accent5 2_U625 2nd Row 702K" xfId="1050"/>
    <cellStyle name="40% - Accent5 20" xfId="1051"/>
    <cellStyle name="40% - Accent5 20 2" xfId="1052"/>
    <cellStyle name="40% - Accent5 21" xfId="1053"/>
    <cellStyle name="40% - Accent5 21 2" xfId="1054"/>
    <cellStyle name="40% - Accent5 22" xfId="1055"/>
    <cellStyle name="40% - Accent5 22 2" xfId="1056"/>
    <cellStyle name="40% - Accent5 23" xfId="1057"/>
    <cellStyle name="40% - Accent5 23 2" xfId="1058"/>
    <cellStyle name="40% - Accent5 24" xfId="1059"/>
    <cellStyle name="40% - Accent5 24 2" xfId="1060"/>
    <cellStyle name="40% - Accent5 25" xfId="1061"/>
    <cellStyle name="40% - Accent5 25 2" xfId="1062"/>
    <cellStyle name="40% - Accent5 26" xfId="1063"/>
    <cellStyle name="40% - Accent5 26 2" xfId="1064"/>
    <cellStyle name="40% - Accent5 27" xfId="1065"/>
    <cellStyle name="40% - Accent5 27 2" xfId="1066"/>
    <cellStyle name="40% - Accent5 27 3" xfId="1067"/>
    <cellStyle name="40% - Accent5 27 4" xfId="1068"/>
    <cellStyle name="40% - Accent5 27 5" xfId="1069"/>
    <cellStyle name="40% - Accent5 27 6" xfId="1070"/>
    <cellStyle name="40% - Accent5 28" xfId="1071"/>
    <cellStyle name="40% - Accent5 29" xfId="1072"/>
    <cellStyle name="40% - Accent5 3" xfId="1073"/>
    <cellStyle name="40% - Accent5 3 2" xfId="1074"/>
    <cellStyle name="40% - Accent5 30" xfId="1075"/>
    <cellStyle name="40% - Accent5 31" xfId="1076"/>
    <cellStyle name="40% - Accent5 32" xfId="4001"/>
    <cellStyle name="40% - Accent5 32 2" xfId="5306"/>
    <cellStyle name="40% - Accent5 32 3" xfId="5920"/>
    <cellStyle name="40% - Accent5 33" xfId="4132"/>
    <cellStyle name="40% - Accent5 33 2" xfId="5372"/>
    <cellStyle name="40% - Accent5 33 3" xfId="5986"/>
    <cellStyle name="40% - Accent5 34" xfId="4479"/>
    <cellStyle name="40% - Accent5 34 2" xfId="5549"/>
    <cellStyle name="40% - Accent5 34 3" xfId="6161"/>
    <cellStyle name="40% - Accent5 35" xfId="4188"/>
    <cellStyle name="40% - Accent5 35 2" xfId="5420"/>
    <cellStyle name="40% - Accent5 35 3" xfId="6034"/>
    <cellStyle name="40% - Accent5 36" xfId="4489"/>
    <cellStyle name="40% - Accent5 36 2" xfId="5559"/>
    <cellStyle name="40% - Accent5 36 3" xfId="6171"/>
    <cellStyle name="40% - Accent5 37" xfId="4589"/>
    <cellStyle name="40% - Accent5 37 2" xfId="5633"/>
    <cellStyle name="40% - Accent5 37 3" xfId="6243"/>
    <cellStyle name="40% - Accent5 38" xfId="4465"/>
    <cellStyle name="40% - Accent5 38 2" xfId="5536"/>
    <cellStyle name="40% - Accent5 38 3" xfId="6148"/>
    <cellStyle name="40% - Accent5 39" xfId="4686"/>
    <cellStyle name="40% - Accent5 39 2" xfId="5703"/>
    <cellStyle name="40% - Accent5 39 3" xfId="6313"/>
    <cellStyle name="40% - Accent5 4" xfId="1077"/>
    <cellStyle name="40% - Accent5 4 2" xfId="1078"/>
    <cellStyle name="40% - Accent5 40" xfId="4539"/>
    <cellStyle name="40% - Accent5 40 2" xfId="5602"/>
    <cellStyle name="40% - Accent5 40 3" xfId="6213"/>
    <cellStyle name="40% - Accent5 41" xfId="4719"/>
    <cellStyle name="40% - Accent5 41 2" xfId="5728"/>
    <cellStyle name="40% - Accent5 41 3" xfId="6338"/>
    <cellStyle name="40% - Accent5 42" xfId="4759"/>
    <cellStyle name="40% - Accent5 42 2" xfId="5761"/>
    <cellStyle name="40% - Accent5 42 3" xfId="6371"/>
    <cellStyle name="40% - Accent5 43" xfId="4749"/>
    <cellStyle name="40% - Accent5 43 2" xfId="5752"/>
    <cellStyle name="40% - Accent5 43 3" xfId="6362"/>
    <cellStyle name="40% - Accent5 44" xfId="4790"/>
    <cellStyle name="40% - Accent5 44 2" xfId="5782"/>
    <cellStyle name="40% - Accent5 44 3" xfId="6392"/>
    <cellStyle name="40% - Accent5 45" xfId="4808"/>
    <cellStyle name="40% - Accent5 45 2" xfId="5794"/>
    <cellStyle name="40% - Accent5 45 3" xfId="6404"/>
    <cellStyle name="40% - Accent5 46" xfId="4844"/>
    <cellStyle name="40% - Accent5 47" xfId="4870"/>
    <cellStyle name="40% - Accent5 5" xfId="1079"/>
    <cellStyle name="40% - Accent5 5 2" xfId="1080"/>
    <cellStyle name="40% - Accent5 6" xfId="1081"/>
    <cellStyle name="40% - Accent5 6 2" xfId="1082"/>
    <cellStyle name="40% - Accent5 7" xfId="1083"/>
    <cellStyle name="40% - Accent5 7 2" xfId="1084"/>
    <cellStyle name="40% - Accent5 8" xfId="1085"/>
    <cellStyle name="40% - Accent5 8 2" xfId="1086"/>
    <cellStyle name="40% - Accent5 9" xfId="1087"/>
    <cellStyle name="40% - Accent5 9 2" xfId="1088"/>
    <cellStyle name="40% - Accent6" xfId="1089"/>
    <cellStyle name="40% - Accent6 10" xfId="1090"/>
    <cellStyle name="40% - Accent6 10 2" xfId="1091"/>
    <cellStyle name="40% - Accent6 11" xfId="1092"/>
    <cellStyle name="40% - Accent6 11 2" xfId="1093"/>
    <cellStyle name="40% - Accent6 12" xfId="1094"/>
    <cellStyle name="40% - Accent6 12 2" xfId="1095"/>
    <cellStyle name="40% - Accent6 13" xfId="1096"/>
    <cellStyle name="40% - Accent6 13 2" xfId="1097"/>
    <cellStyle name="40% - Accent6 14" xfId="1098"/>
    <cellStyle name="40% - Accent6 14 2" xfId="1099"/>
    <cellStyle name="40% - Accent6 15" xfId="1100"/>
    <cellStyle name="40% - Accent6 15 2" xfId="1101"/>
    <cellStyle name="40% - Accent6 16" xfId="1102"/>
    <cellStyle name="40% - Accent6 16 2" xfId="1103"/>
    <cellStyle name="40% - Accent6 17" xfId="1104"/>
    <cellStyle name="40% - Accent6 17 2" xfId="1105"/>
    <cellStyle name="40% - Accent6 18" xfId="1106"/>
    <cellStyle name="40% - Accent6 18 2" xfId="1107"/>
    <cellStyle name="40% - Accent6 19" xfId="1108"/>
    <cellStyle name="40% - Accent6 19 2" xfId="1109"/>
    <cellStyle name="40% - Accent6 2" xfId="1110"/>
    <cellStyle name="40% - Accent6 2 2" xfId="1111"/>
    <cellStyle name="40% - Accent6 2 2 2" xfId="1112"/>
    <cellStyle name="40% - Accent6 2 3" xfId="1113"/>
    <cellStyle name="40% - Accent6 2 3 2" xfId="1114"/>
    <cellStyle name="40% - Accent6 2 4" xfId="1115"/>
    <cellStyle name="40% - Accent6 2_U625 2nd Row 702K" xfId="1116"/>
    <cellStyle name="40% - Accent6 20" xfId="1117"/>
    <cellStyle name="40% - Accent6 20 2" xfId="1118"/>
    <cellStyle name="40% - Accent6 21" xfId="1119"/>
    <cellStyle name="40% - Accent6 21 2" xfId="1120"/>
    <cellStyle name="40% - Accent6 22" xfId="1121"/>
    <cellStyle name="40% - Accent6 22 2" xfId="1122"/>
    <cellStyle name="40% - Accent6 23" xfId="1123"/>
    <cellStyle name="40% - Accent6 23 2" xfId="1124"/>
    <cellStyle name="40% - Accent6 24" xfId="1125"/>
    <cellStyle name="40% - Accent6 24 2" xfId="1126"/>
    <cellStyle name="40% - Accent6 25" xfId="1127"/>
    <cellStyle name="40% - Accent6 25 2" xfId="1128"/>
    <cellStyle name="40% - Accent6 26" xfId="1129"/>
    <cellStyle name="40% - Accent6 26 2" xfId="1130"/>
    <cellStyle name="40% - Accent6 27" xfId="1131"/>
    <cellStyle name="40% - Accent6 27 2" xfId="1132"/>
    <cellStyle name="40% - Accent6 27 3" xfId="1133"/>
    <cellStyle name="40% - Accent6 27 4" xfId="1134"/>
    <cellStyle name="40% - Accent6 27 5" xfId="1135"/>
    <cellStyle name="40% - Accent6 27 6" xfId="1136"/>
    <cellStyle name="40% - Accent6 28" xfId="1137"/>
    <cellStyle name="40% - Accent6 29" xfId="1138"/>
    <cellStyle name="40% - Accent6 3" xfId="1139"/>
    <cellStyle name="40% - Accent6 3 2" xfId="1140"/>
    <cellStyle name="40% - Accent6 30" xfId="1141"/>
    <cellStyle name="40% - Accent6 31" xfId="1142"/>
    <cellStyle name="40% - Accent6 32" xfId="4002"/>
    <cellStyle name="40% - Accent6 32 2" xfId="5307"/>
    <cellStyle name="40% - Accent6 32 3" xfId="5921"/>
    <cellStyle name="40% - Accent6 33" xfId="4131"/>
    <cellStyle name="40% - Accent6 33 2" xfId="5371"/>
    <cellStyle name="40% - Accent6 33 3" xfId="5985"/>
    <cellStyle name="40% - Accent6 34" xfId="4478"/>
    <cellStyle name="40% - Accent6 34 2" xfId="5548"/>
    <cellStyle name="40% - Accent6 34 3" xfId="6160"/>
    <cellStyle name="40% - Accent6 35" xfId="4187"/>
    <cellStyle name="40% - Accent6 35 2" xfId="5419"/>
    <cellStyle name="40% - Accent6 35 3" xfId="6033"/>
    <cellStyle name="40% - Accent6 36" xfId="4488"/>
    <cellStyle name="40% - Accent6 36 2" xfId="5558"/>
    <cellStyle name="40% - Accent6 36 3" xfId="6170"/>
    <cellStyle name="40% - Accent6 37" xfId="4588"/>
    <cellStyle name="40% - Accent6 37 2" xfId="5632"/>
    <cellStyle name="40% - Accent6 37 3" xfId="6242"/>
    <cellStyle name="40% - Accent6 38" xfId="4464"/>
    <cellStyle name="40% - Accent6 38 2" xfId="5535"/>
    <cellStyle name="40% - Accent6 38 3" xfId="6147"/>
    <cellStyle name="40% - Accent6 39" xfId="4685"/>
    <cellStyle name="40% - Accent6 39 2" xfId="5702"/>
    <cellStyle name="40% - Accent6 39 3" xfId="6312"/>
    <cellStyle name="40% - Accent6 4" xfId="1143"/>
    <cellStyle name="40% - Accent6 4 2" xfId="1144"/>
    <cellStyle name="40% - Accent6 40" xfId="4538"/>
    <cellStyle name="40% - Accent6 40 2" xfId="5601"/>
    <cellStyle name="40% - Accent6 40 3" xfId="6212"/>
    <cellStyle name="40% - Accent6 41" xfId="4712"/>
    <cellStyle name="40% - Accent6 41 2" xfId="5721"/>
    <cellStyle name="40% - Accent6 41 3" xfId="6331"/>
    <cellStyle name="40% - Accent6 42" xfId="4698"/>
    <cellStyle name="40% - Accent6 42 2" xfId="5710"/>
    <cellStyle name="40% - Accent6 42 3" xfId="6320"/>
    <cellStyle name="40% - Accent6 43" xfId="4748"/>
    <cellStyle name="40% - Accent6 43 2" xfId="5751"/>
    <cellStyle name="40% - Accent6 43 3" xfId="6361"/>
    <cellStyle name="40% - Accent6 44" xfId="4788"/>
    <cellStyle name="40% - Accent6 44 2" xfId="5781"/>
    <cellStyle name="40% - Accent6 44 3" xfId="6391"/>
    <cellStyle name="40% - Accent6 45" xfId="4807"/>
    <cellStyle name="40% - Accent6 45 2" xfId="5793"/>
    <cellStyle name="40% - Accent6 45 3" xfId="6403"/>
    <cellStyle name="40% - Accent6 46" xfId="4843"/>
    <cellStyle name="40% - Accent6 47" xfId="4869"/>
    <cellStyle name="40% - Accent6 5" xfId="1145"/>
    <cellStyle name="40% - Accent6 5 2" xfId="1146"/>
    <cellStyle name="40% - Accent6 6" xfId="1147"/>
    <cellStyle name="40% - Accent6 6 2" xfId="1148"/>
    <cellStyle name="40% - Accent6 7" xfId="1149"/>
    <cellStyle name="40% - Accent6 7 2" xfId="1150"/>
    <cellStyle name="40% - Accent6 8" xfId="1151"/>
    <cellStyle name="40% - Accent6 8 2" xfId="1152"/>
    <cellStyle name="40% - Accent6 9" xfId="1153"/>
    <cellStyle name="40% - Accent6 9 2" xfId="1154"/>
    <cellStyle name="40% - Akzent1" xfId="1155"/>
    <cellStyle name="40% - Akzent1 2" xfId="1156"/>
    <cellStyle name="40% - Akzent2" xfId="1157"/>
    <cellStyle name="40% - Akzent2 2" xfId="1158"/>
    <cellStyle name="40% - Akzent3" xfId="1159"/>
    <cellStyle name="40% - Akzent3 2" xfId="1160"/>
    <cellStyle name="40% - Akzent4" xfId="1161"/>
    <cellStyle name="40% - Akzent4 2" xfId="1162"/>
    <cellStyle name="40% - Akzent5" xfId="1163"/>
    <cellStyle name="40% - Akzent5 2" xfId="1164"/>
    <cellStyle name="40% - Akzent6" xfId="1165"/>
    <cellStyle name="40% - Akzent6 2" xfId="1166"/>
    <cellStyle name="40% - Énfasis1" xfId="1167"/>
    <cellStyle name="40% - Énfasis1 2" xfId="1168"/>
    <cellStyle name="40% - Énfasis2" xfId="1169"/>
    <cellStyle name="40% - Énfasis2 2" xfId="1170"/>
    <cellStyle name="40% - Énfasis3" xfId="1171"/>
    <cellStyle name="40% - Énfasis3 2" xfId="1172"/>
    <cellStyle name="40% - Énfasis4" xfId="1173"/>
    <cellStyle name="40% - Énfasis4 2" xfId="1174"/>
    <cellStyle name="40% - Énfasis5" xfId="1175"/>
    <cellStyle name="40% - Énfasis5 2" xfId="1176"/>
    <cellStyle name="40% - Énfasis6" xfId="1177"/>
    <cellStyle name="40% - Énfasis6 2" xfId="1178"/>
    <cellStyle name="40% - 강조색1" xfId="4003"/>
    <cellStyle name="40% - 강조색1 2" xfId="4004"/>
    <cellStyle name="40% - 강조색1 3" xfId="4005"/>
    <cellStyle name="40% - 강조색1 4" xfId="4006"/>
    <cellStyle name="40% - 강조색2" xfId="4007"/>
    <cellStyle name="40% - 강조색2 2" xfId="4008"/>
    <cellStyle name="40% - 강조색2 3" xfId="4009"/>
    <cellStyle name="40% - 강조색2 4" xfId="4010"/>
    <cellStyle name="40% - 강조색3" xfId="4011"/>
    <cellStyle name="40% - 강조색3 2" xfId="4012"/>
    <cellStyle name="40% - 강조색3 3" xfId="4013"/>
    <cellStyle name="40% - 강조색3 4" xfId="4014"/>
    <cellStyle name="40% - 강조색4" xfId="4015"/>
    <cellStyle name="40% - 강조색4 2" xfId="4016"/>
    <cellStyle name="40% - 강조색4 3" xfId="4017"/>
    <cellStyle name="40% - 강조색4 4" xfId="4018"/>
    <cellStyle name="40% - 강조색5" xfId="4019"/>
    <cellStyle name="40% - 강조색5 2" xfId="4020"/>
    <cellStyle name="40% - 강조색5 3" xfId="4021"/>
    <cellStyle name="40% - 강조색5 4" xfId="4022"/>
    <cellStyle name="40% - 강조색6" xfId="4023"/>
    <cellStyle name="40% - 강조색6 2" xfId="4024"/>
    <cellStyle name="40% - 강조색6 3" xfId="4025"/>
    <cellStyle name="40% - 강조색6 4" xfId="4026"/>
    <cellStyle name="4stellig" xfId="1179"/>
    <cellStyle name="60% - Accent1" xfId="1180"/>
    <cellStyle name="60% - Accent1 10" xfId="1181"/>
    <cellStyle name="60% - Accent1 11" xfId="1182"/>
    <cellStyle name="60% - Accent1 12" xfId="1183"/>
    <cellStyle name="60% - Accent1 13" xfId="1184"/>
    <cellStyle name="60% - Accent1 14" xfId="1185"/>
    <cellStyle name="60% - Accent1 15" xfId="1186"/>
    <cellStyle name="60% - Accent1 16" xfId="1187"/>
    <cellStyle name="60% - Accent1 17" xfId="1188"/>
    <cellStyle name="60% - Accent1 18" xfId="1189"/>
    <cellStyle name="60% - Accent1 19" xfId="1190"/>
    <cellStyle name="60% - Accent1 2" xfId="1191"/>
    <cellStyle name="60% - Accent1 2 2" xfId="1192"/>
    <cellStyle name="60% - Accent1 2 3" xfId="1193"/>
    <cellStyle name="60% - Accent1 2_U625 2nd Row 702K" xfId="1194"/>
    <cellStyle name="60% - Accent1 20" xfId="1195"/>
    <cellStyle name="60% - Accent1 21" xfId="1196"/>
    <cellStyle name="60% - Accent1 22" xfId="1197"/>
    <cellStyle name="60% - Accent1 23" xfId="1198"/>
    <cellStyle name="60% - Accent1 24" xfId="1199"/>
    <cellStyle name="60% - Accent1 25" xfId="1200"/>
    <cellStyle name="60% - Accent1 26" xfId="1201"/>
    <cellStyle name="60% - Accent1 27" xfId="1202"/>
    <cellStyle name="60% - Accent1 27 2" xfId="1203"/>
    <cellStyle name="60% - Accent1 27 3" xfId="1204"/>
    <cellStyle name="60% - Accent1 27 4" xfId="1205"/>
    <cellStyle name="60% - Accent1 27 5" xfId="1206"/>
    <cellStyle name="60% - Accent1 27 6" xfId="1207"/>
    <cellStyle name="60% - Accent1 28" xfId="1208"/>
    <cellStyle name="60% - Accent1 29" xfId="1209"/>
    <cellStyle name="60% - Accent1 3" xfId="1210"/>
    <cellStyle name="60% - Accent1 30" xfId="1211"/>
    <cellStyle name="60% - Accent1 31" xfId="1212"/>
    <cellStyle name="60% - Accent1 32" xfId="4027"/>
    <cellStyle name="60% - Accent1 32 2" xfId="5308"/>
    <cellStyle name="60% - Accent1 32 3" xfId="5922"/>
    <cellStyle name="60% - Accent1 33" xfId="4099"/>
    <cellStyle name="60% - Accent1 33 2" xfId="5342"/>
    <cellStyle name="60% - Accent1 33 3" xfId="5956"/>
    <cellStyle name="60% - Accent1 34" xfId="4456"/>
    <cellStyle name="60% - Accent1 34 2" xfId="5529"/>
    <cellStyle name="60% - Accent1 34 3" xfId="6141"/>
    <cellStyle name="60% - Accent1 35" xfId="4155"/>
    <cellStyle name="60% - Accent1 35 2" xfId="5390"/>
    <cellStyle name="60% - Accent1 35 3" xfId="6004"/>
    <cellStyle name="60% - Accent1 36" xfId="4460"/>
    <cellStyle name="60% - Accent1 36 2" xfId="5533"/>
    <cellStyle name="60% - Accent1 36 3" xfId="6145"/>
    <cellStyle name="60% - Accent1 37" xfId="4238"/>
    <cellStyle name="60% - Accent1 37 2" xfId="5455"/>
    <cellStyle name="60% - Accent1 37 3" xfId="6067"/>
    <cellStyle name="60% - Accent1 38" xfId="4438"/>
    <cellStyle name="60% - Accent1 38 2" xfId="5517"/>
    <cellStyle name="60% - Accent1 38 3" xfId="6129"/>
    <cellStyle name="60% - Accent1 39" xfId="4657"/>
    <cellStyle name="60% - Accent1 39 2" xfId="5683"/>
    <cellStyle name="60% - Accent1 39 3" xfId="6293"/>
    <cellStyle name="60% - Accent1 4" xfId="1213"/>
    <cellStyle name="60% - Accent1 40" xfId="4487"/>
    <cellStyle name="60% - Accent1 40 2" xfId="5557"/>
    <cellStyle name="60% - Accent1 40 3" xfId="6169"/>
    <cellStyle name="60% - Accent1 41" xfId="4684"/>
    <cellStyle name="60% - Accent1 41 2" xfId="5701"/>
    <cellStyle name="60% - Accent1 41 3" xfId="6311"/>
    <cellStyle name="60% - Accent1 42" xfId="4560"/>
    <cellStyle name="60% - Accent1 42 2" xfId="5618"/>
    <cellStyle name="60% - Accent1 42 3" xfId="6229"/>
    <cellStyle name="60% - Accent1 43" xfId="4729"/>
    <cellStyle name="60% - Accent1 43 2" xfId="5738"/>
    <cellStyle name="60% - Accent1 43 3" xfId="6348"/>
    <cellStyle name="60% - Accent1 44" xfId="4771"/>
    <cellStyle name="60% - Accent1 44 2" xfId="5771"/>
    <cellStyle name="60% - Accent1 44 3" xfId="6381"/>
    <cellStyle name="60% - Accent1 45" xfId="4756"/>
    <cellStyle name="60% - Accent1 45 2" xfId="5759"/>
    <cellStyle name="60% - Accent1 45 3" xfId="6369"/>
    <cellStyle name="60% - Accent1 46" xfId="4827"/>
    <cellStyle name="60% - Accent1 47" xfId="4859"/>
    <cellStyle name="60% - Accent1 5" xfId="1214"/>
    <cellStyle name="60% - Accent1 6" xfId="1215"/>
    <cellStyle name="60% - Accent1 7" xfId="1216"/>
    <cellStyle name="60% - Accent1 8" xfId="1217"/>
    <cellStyle name="60% - Accent1 9" xfId="1218"/>
    <cellStyle name="60% - Accent2" xfId="1219"/>
    <cellStyle name="60% - Accent2 10" xfId="1220"/>
    <cellStyle name="60% - Accent2 11" xfId="1221"/>
    <cellStyle name="60% - Accent2 12" xfId="1222"/>
    <cellStyle name="60% - Accent2 13" xfId="1223"/>
    <cellStyle name="60% - Accent2 14" xfId="1224"/>
    <cellStyle name="60% - Accent2 15" xfId="1225"/>
    <cellStyle name="60% - Accent2 16" xfId="1226"/>
    <cellStyle name="60% - Accent2 17" xfId="1227"/>
    <cellStyle name="60% - Accent2 18" xfId="1228"/>
    <cellStyle name="60% - Accent2 19" xfId="1229"/>
    <cellStyle name="60% - Accent2 2" xfId="1230"/>
    <cellStyle name="60% - Accent2 2 2" xfId="1231"/>
    <cellStyle name="60% - Accent2 2 3" xfId="1232"/>
    <cellStyle name="60% - Accent2 2_U625 2nd Row 702K" xfId="1233"/>
    <cellStyle name="60% - Accent2 20" xfId="1234"/>
    <cellStyle name="60% - Accent2 21" xfId="1235"/>
    <cellStyle name="60% - Accent2 22" xfId="1236"/>
    <cellStyle name="60% - Accent2 23" xfId="1237"/>
    <cellStyle name="60% - Accent2 24" xfId="1238"/>
    <cellStyle name="60% - Accent2 25" xfId="1239"/>
    <cellStyle name="60% - Accent2 26" xfId="1240"/>
    <cellStyle name="60% - Accent2 27" xfId="1241"/>
    <cellStyle name="60% - Accent2 27 2" xfId="1242"/>
    <cellStyle name="60% - Accent2 27 3" xfId="1243"/>
    <cellStyle name="60% - Accent2 27 4" xfId="1244"/>
    <cellStyle name="60% - Accent2 27 5" xfId="1245"/>
    <cellStyle name="60% - Accent2 27 6" xfId="1246"/>
    <cellStyle name="60% - Accent2 28" xfId="1247"/>
    <cellStyle name="60% - Accent2 29" xfId="1248"/>
    <cellStyle name="60% - Accent2 3" xfId="1249"/>
    <cellStyle name="60% - Accent2 30" xfId="1250"/>
    <cellStyle name="60% - Accent2 31" xfId="1251"/>
    <cellStyle name="60% - Accent2 32" xfId="4028"/>
    <cellStyle name="60% - Accent2 32 2" xfId="5309"/>
    <cellStyle name="60% - Accent2 32 3" xfId="5923"/>
    <cellStyle name="60% - Accent2 33" xfId="4098"/>
    <cellStyle name="60% - Accent2 33 2" xfId="5341"/>
    <cellStyle name="60% - Accent2 33 3" xfId="5955"/>
    <cellStyle name="60% - Accent2 34" xfId="4455"/>
    <cellStyle name="60% - Accent2 34 2" xfId="5528"/>
    <cellStyle name="60% - Accent2 34 3" xfId="6140"/>
    <cellStyle name="60% - Accent2 35" xfId="4154"/>
    <cellStyle name="60% - Accent2 35 2" xfId="5389"/>
    <cellStyle name="60% - Accent2 35 3" xfId="6003"/>
    <cellStyle name="60% - Accent2 36" xfId="4459"/>
    <cellStyle name="60% - Accent2 36 2" xfId="5532"/>
    <cellStyle name="60% - Accent2 36 3" xfId="6144"/>
    <cellStyle name="60% - Accent2 37" xfId="4237"/>
    <cellStyle name="60% - Accent2 37 2" xfId="5454"/>
    <cellStyle name="60% - Accent2 37 3" xfId="6066"/>
    <cellStyle name="60% - Accent2 38" xfId="4437"/>
    <cellStyle name="60% - Accent2 38 2" xfId="5516"/>
    <cellStyle name="60% - Accent2 38 3" xfId="6128"/>
    <cellStyle name="60% - Accent2 39" xfId="4656"/>
    <cellStyle name="60% - Accent2 39 2" xfId="5682"/>
    <cellStyle name="60% - Accent2 39 3" xfId="6292"/>
    <cellStyle name="60% - Accent2 4" xfId="1252"/>
    <cellStyle name="60% - Accent2 40" xfId="4486"/>
    <cellStyle name="60% - Accent2 40 2" xfId="5556"/>
    <cellStyle name="60% - Accent2 40 3" xfId="6168"/>
    <cellStyle name="60% - Accent2 41" xfId="4683"/>
    <cellStyle name="60% - Accent2 41 2" xfId="5700"/>
    <cellStyle name="60% - Accent2 41 3" xfId="6310"/>
    <cellStyle name="60% - Accent2 42" xfId="4559"/>
    <cellStyle name="60% - Accent2 42 2" xfId="5617"/>
    <cellStyle name="60% - Accent2 42 3" xfId="6228"/>
    <cellStyle name="60% - Accent2 43" xfId="4728"/>
    <cellStyle name="60% - Accent2 43 2" xfId="5737"/>
    <cellStyle name="60% - Accent2 43 3" xfId="6347"/>
    <cellStyle name="60% - Accent2 44" xfId="4770"/>
    <cellStyle name="60% - Accent2 44 2" xfId="5770"/>
    <cellStyle name="60% - Accent2 44 3" xfId="6380"/>
    <cellStyle name="60% - Accent2 45" xfId="4755"/>
    <cellStyle name="60% - Accent2 45 2" xfId="5758"/>
    <cellStyle name="60% - Accent2 45 3" xfId="6368"/>
    <cellStyle name="60% - Accent2 46" xfId="4826"/>
    <cellStyle name="60% - Accent2 47" xfId="4858"/>
    <cellStyle name="60% - Accent2 5" xfId="1253"/>
    <cellStyle name="60% - Accent2 6" xfId="1254"/>
    <cellStyle name="60% - Accent2 7" xfId="1255"/>
    <cellStyle name="60% - Accent2 8" xfId="1256"/>
    <cellStyle name="60% - Accent2 9" xfId="1257"/>
    <cellStyle name="60% - Accent3" xfId="1258"/>
    <cellStyle name="60% - Accent3 10" xfId="1259"/>
    <cellStyle name="60% - Accent3 11" xfId="1260"/>
    <cellStyle name="60% - Accent3 12" xfId="1261"/>
    <cellStyle name="60% - Accent3 13" xfId="1262"/>
    <cellStyle name="60% - Accent3 14" xfId="1263"/>
    <cellStyle name="60% - Accent3 15" xfId="1264"/>
    <cellStyle name="60% - Accent3 16" xfId="1265"/>
    <cellStyle name="60% - Accent3 17" xfId="1266"/>
    <cellStyle name="60% - Accent3 18" xfId="1267"/>
    <cellStyle name="60% - Accent3 19" xfId="1268"/>
    <cellStyle name="60% - Accent3 2" xfId="1269"/>
    <cellStyle name="60% - Accent3 2 2" xfId="1270"/>
    <cellStyle name="60% - Accent3 2 3" xfId="1271"/>
    <cellStyle name="60% - Accent3 2_U625 2nd Row 702K" xfId="1272"/>
    <cellStyle name="60% - Accent3 20" xfId="1273"/>
    <cellStyle name="60% - Accent3 21" xfId="1274"/>
    <cellStyle name="60% - Accent3 22" xfId="1275"/>
    <cellStyle name="60% - Accent3 23" xfId="1276"/>
    <cellStyle name="60% - Accent3 24" xfId="1277"/>
    <cellStyle name="60% - Accent3 25" xfId="1278"/>
    <cellStyle name="60% - Accent3 26" xfId="1279"/>
    <cellStyle name="60% - Accent3 27" xfId="1280"/>
    <cellStyle name="60% - Accent3 27 2" xfId="1281"/>
    <cellStyle name="60% - Accent3 27 3" xfId="1282"/>
    <cellStyle name="60% - Accent3 27 4" xfId="1283"/>
    <cellStyle name="60% - Accent3 27 5" xfId="1284"/>
    <cellStyle name="60% - Accent3 27 6" xfId="1285"/>
    <cellStyle name="60% - Accent3 28" xfId="1286"/>
    <cellStyle name="60% - Accent3 29" xfId="1287"/>
    <cellStyle name="60% - Accent3 3" xfId="1288"/>
    <cellStyle name="60% - Accent3 30" xfId="1289"/>
    <cellStyle name="60% - Accent3 31" xfId="1290"/>
    <cellStyle name="60% - Accent3 32" xfId="4029"/>
    <cellStyle name="60% - Accent3 32 2" xfId="5310"/>
    <cellStyle name="60% - Accent3 32 3" xfId="5924"/>
    <cellStyle name="60% - Accent3 33" xfId="4097"/>
    <cellStyle name="60% - Accent3 33 2" xfId="5340"/>
    <cellStyle name="60% - Accent3 33 3" xfId="5954"/>
    <cellStyle name="60% - Accent3 34" xfId="4454"/>
    <cellStyle name="60% - Accent3 34 2" xfId="5527"/>
    <cellStyle name="60% - Accent3 34 3" xfId="6139"/>
    <cellStyle name="60% - Accent3 35" xfId="4152"/>
    <cellStyle name="60% - Accent3 35 2" xfId="5387"/>
    <cellStyle name="60% - Accent3 35 3" xfId="6001"/>
    <cellStyle name="60% - Accent3 36" xfId="4458"/>
    <cellStyle name="60% - Accent3 36 2" xfId="5531"/>
    <cellStyle name="60% - Accent3 36 3" xfId="6143"/>
    <cellStyle name="60% - Accent3 37" xfId="4224"/>
    <cellStyle name="60% - Accent3 37 2" xfId="5443"/>
    <cellStyle name="60% - Accent3 37 3" xfId="6056"/>
    <cellStyle name="60% - Accent3 38" xfId="4436"/>
    <cellStyle name="60% - Accent3 38 2" xfId="5515"/>
    <cellStyle name="60% - Accent3 38 3" xfId="6127"/>
    <cellStyle name="60% - Accent3 39" xfId="4655"/>
    <cellStyle name="60% - Accent3 39 2" xfId="5681"/>
    <cellStyle name="60% - Accent3 39 3" xfId="6291"/>
    <cellStyle name="60% - Accent3 4" xfId="1291"/>
    <cellStyle name="60% - Accent3 40" xfId="4485"/>
    <cellStyle name="60% - Accent3 40 2" xfId="5555"/>
    <cellStyle name="60% - Accent3 40 3" xfId="6167"/>
    <cellStyle name="60% - Accent3 41" xfId="4682"/>
    <cellStyle name="60% - Accent3 41 2" xfId="5699"/>
    <cellStyle name="60% - Accent3 41 3" xfId="6309"/>
    <cellStyle name="60% - Accent3 42" xfId="4558"/>
    <cellStyle name="60% - Accent3 42 2" xfId="5616"/>
    <cellStyle name="60% - Accent3 42 3" xfId="6227"/>
    <cellStyle name="60% - Accent3 43" xfId="4727"/>
    <cellStyle name="60% - Accent3 43 2" xfId="5736"/>
    <cellStyle name="60% - Accent3 43 3" xfId="6346"/>
    <cellStyle name="60% - Accent3 44" xfId="4768"/>
    <cellStyle name="60% - Accent3 44 2" xfId="5769"/>
    <cellStyle name="60% - Accent3 44 3" xfId="6379"/>
    <cellStyle name="60% - Accent3 45" xfId="4754"/>
    <cellStyle name="60% - Accent3 45 2" xfId="5757"/>
    <cellStyle name="60% - Accent3 45 3" xfId="6367"/>
    <cellStyle name="60% - Accent3 46" xfId="4825"/>
    <cellStyle name="60% - Accent3 47" xfId="4857"/>
    <cellStyle name="60% - Accent3 5" xfId="1292"/>
    <cellStyle name="60% - Accent3 6" xfId="1293"/>
    <cellStyle name="60% - Accent3 7" xfId="1294"/>
    <cellStyle name="60% - Accent3 8" xfId="1295"/>
    <cellStyle name="60% - Accent3 9" xfId="1296"/>
    <cellStyle name="60% - Accent4" xfId="1297"/>
    <cellStyle name="60% - Accent4 10" xfId="1298"/>
    <cellStyle name="60% - Accent4 11" xfId="1299"/>
    <cellStyle name="60% - Accent4 12" xfId="1300"/>
    <cellStyle name="60% - Accent4 13" xfId="1301"/>
    <cellStyle name="60% - Accent4 14" xfId="1302"/>
    <cellStyle name="60% - Accent4 15" xfId="1303"/>
    <cellStyle name="60% - Accent4 16" xfId="1304"/>
    <cellStyle name="60% - Accent4 17" xfId="1305"/>
    <cellStyle name="60% - Accent4 18" xfId="1306"/>
    <cellStyle name="60% - Accent4 19" xfId="1307"/>
    <cellStyle name="60% - Accent4 2" xfId="1308"/>
    <cellStyle name="60% - Accent4 2 2" xfId="1309"/>
    <cellStyle name="60% - Accent4 2 3" xfId="1310"/>
    <cellStyle name="60% - Accent4 2_U625 2nd Row 702K" xfId="1311"/>
    <cellStyle name="60% - Accent4 20" xfId="1312"/>
    <cellStyle name="60% - Accent4 21" xfId="1313"/>
    <cellStyle name="60% - Accent4 22" xfId="1314"/>
    <cellStyle name="60% - Accent4 23" xfId="1315"/>
    <cellStyle name="60% - Accent4 24" xfId="1316"/>
    <cellStyle name="60% - Accent4 25" xfId="1317"/>
    <cellStyle name="60% - Accent4 26" xfId="1318"/>
    <cellStyle name="60% - Accent4 27" xfId="1319"/>
    <cellStyle name="60% - Accent4 27 2" xfId="1320"/>
    <cellStyle name="60% - Accent4 27 3" xfId="1321"/>
    <cellStyle name="60% - Accent4 27 4" xfId="1322"/>
    <cellStyle name="60% - Accent4 27 5" xfId="1323"/>
    <cellStyle name="60% - Accent4 27 6" xfId="1324"/>
    <cellStyle name="60% - Accent4 28" xfId="1325"/>
    <cellStyle name="60% - Accent4 29" xfId="1326"/>
    <cellStyle name="60% - Accent4 3" xfId="1327"/>
    <cellStyle name="60% - Accent4 30" xfId="1328"/>
    <cellStyle name="60% - Accent4 31" xfId="1329"/>
    <cellStyle name="60% - Accent4 32" xfId="4030"/>
    <cellStyle name="60% - Accent4 32 2" xfId="5311"/>
    <cellStyle name="60% - Accent4 32 3" xfId="5925"/>
    <cellStyle name="60% - Accent4 33" xfId="4096"/>
    <cellStyle name="60% - Accent4 33 2" xfId="5339"/>
    <cellStyle name="60% - Accent4 33 3" xfId="5953"/>
    <cellStyle name="60% - Accent4 34" xfId="4453"/>
    <cellStyle name="60% - Accent4 34 2" xfId="5526"/>
    <cellStyle name="60% - Accent4 34 3" xfId="6138"/>
    <cellStyle name="60% - Accent4 35" xfId="4151"/>
    <cellStyle name="60% - Accent4 35 2" xfId="5386"/>
    <cellStyle name="60% - Accent4 35 3" xfId="6000"/>
    <cellStyle name="60% - Accent4 36" xfId="4457"/>
    <cellStyle name="60% - Accent4 36 2" xfId="5530"/>
    <cellStyle name="60% - Accent4 36 3" xfId="6142"/>
    <cellStyle name="60% - Accent4 37" xfId="4223"/>
    <cellStyle name="60% - Accent4 37 2" xfId="5442"/>
    <cellStyle name="60% - Accent4 37 3" xfId="6055"/>
    <cellStyle name="60% - Accent4 38" xfId="4435"/>
    <cellStyle name="60% - Accent4 38 2" xfId="5514"/>
    <cellStyle name="60% - Accent4 38 3" xfId="6126"/>
    <cellStyle name="60% - Accent4 39" xfId="4654"/>
    <cellStyle name="60% - Accent4 39 2" xfId="5680"/>
    <cellStyle name="60% - Accent4 39 3" xfId="6290"/>
    <cellStyle name="60% - Accent4 4" xfId="1330"/>
    <cellStyle name="60% - Accent4 40" xfId="4484"/>
    <cellStyle name="60% - Accent4 40 2" xfId="5554"/>
    <cellStyle name="60% - Accent4 40 3" xfId="6166"/>
    <cellStyle name="60% - Accent4 41" xfId="4681"/>
    <cellStyle name="60% - Accent4 41 2" xfId="5698"/>
    <cellStyle name="60% - Accent4 41 3" xfId="6308"/>
    <cellStyle name="60% - Accent4 42" xfId="4556"/>
    <cellStyle name="60% - Accent4 42 2" xfId="5615"/>
    <cellStyle name="60% - Accent4 42 3" xfId="6226"/>
    <cellStyle name="60% - Accent4 43" xfId="4726"/>
    <cellStyle name="60% - Accent4 43 2" xfId="5735"/>
    <cellStyle name="60% - Accent4 43 3" xfId="6345"/>
    <cellStyle name="60% - Accent4 44" xfId="4767"/>
    <cellStyle name="60% - Accent4 44 2" xfId="5768"/>
    <cellStyle name="60% - Accent4 44 3" xfId="6378"/>
    <cellStyle name="60% - Accent4 45" xfId="4747"/>
    <cellStyle name="60% - Accent4 45 2" xfId="5750"/>
    <cellStyle name="60% - Accent4 45 3" xfId="6360"/>
    <cellStyle name="60% - Accent4 46" xfId="4824"/>
    <cellStyle name="60% - Accent4 47" xfId="5205"/>
    <cellStyle name="60% - Accent4 5" xfId="1331"/>
    <cellStyle name="60% - Accent4 6" xfId="1332"/>
    <cellStyle name="60% - Accent4 7" xfId="1333"/>
    <cellStyle name="60% - Accent4 8" xfId="1334"/>
    <cellStyle name="60% - Accent4 9" xfId="1335"/>
    <cellStyle name="60% - Accent5" xfId="1336"/>
    <cellStyle name="60% - Accent5 10" xfId="1337"/>
    <cellStyle name="60% - Accent5 11" xfId="1338"/>
    <cellStyle name="60% - Accent5 12" xfId="1339"/>
    <cellStyle name="60% - Accent5 13" xfId="1340"/>
    <cellStyle name="60% - Accent5 14" xfId="1341"/>
    <cellStyle name="60% - Accent5 15" xfId="1342"/>
    <cellStyle name="60% - Accent5 16" xfId="1343"/>
    <cellStyle name="60% - Accent5 17" xfId="1344"/>
    <cellStyle name="60% - Accent5 18" xfId="1345"/>
    <cellStyle name="60% - Accent5 19" xfId="1346"/>
    <cellStyle name="60% - Accent5 2" xfId="1347"/>
    <cellStyle name="60% - Accent5 2 2" xfId="1348"/>
    <cellStyle name="60% - Accent5 2 3" xfId="1349"/>
    <cellStyle name="60% - Accent5 2_U625 2nd Row 702K" xfId="1350"/>
    <cellStyle name="60% - Accent5 20" xfId="1351"/>
    <cellStyle name="60% - Accent5 21" xfId="1352"/>
    <cellStyle name="60% - Accent5 22" xfId="1353"/>
    <cellStyle name="60% - Accent5 23" xfId="1354"/>
    <cellStyle name="60% - Accent5 24" xfId="1355"/>
    <cellStyle name="60% - Accent5 25" xfId="1356"/>
    <cellStyle name="60% - Accent5 26" xfId="1357"/>
    <cellStyle name="60% - Accent5 27" xfId="1358"/>
    <cellStyle name="60% - Accent5 27 2" xfId="1359"/>
    <cellStyle name="60% - Accent5 27 3" xfId="1360"/>
    <cellStyle name="60% - Accent5 27 4" xfId="1361"/>
    <cellStyle name="60% - Accent5 27 5" xfId="1362"/>
    <cellStyle name="60% - Accent5 27 6" xfId="1363"/>
    <cellStyle name="60% - Accent5 28" xfId="1364"/>
    <cellStyle name="60% - Accent5 29" xfId="1365"/>
    <cellStyle name="60% - Accent5 3" xfId="1366"/>
    <cellStyle name="60% - Accent5 30" xfId="1367"/>
    <cellStyle name="60% - Accent5 31" xfId="1368"/>
    <cellStyle name="60% - Accent5 32" xfId="4031"/>
    <cellStyle name="60% - Accent5 32 2" xfId="5312"/>
    <cellStyle name="60% - Accent5 32 3" xfId="5926"/>
    <cellStyle name="60% - Accent5 33" xfId="4095"/>
    <cellStyle name="60% - Accent5 33 2" xfId="5338"/>
    <cellStyle name="60% - Accent5 33 3" xfId="5952"/>
    <cellStyle name="60% - Accent5 34" xfId="4452"/>
    <cellStyle name="60% - Accent5 34 2" xfId="5525"/>
    <cellStyle name="60% - Accent5 34 3" xfId="6137"/>
    <cellStyle name="60% - Accent5 35" xfId="4150"/>
    <cellStyle name="60% - Accent5 35 2" xfId="5385"/>
    <cellStyle name="60% - Accent5 35 3" xfId="5999"/>
    <cellStyle name="60% - Accent5 36" xfId="4450"/>
    <cellStyle name="60% - Accent5 36 2" xfId="5523"/>
    <cellStyle name="60% - Accent5 36 3" xfId="6135"/>
    <cellStyle name="60% - Accent5 37" xfId="4222"/>
    <cellStyle name="60% - Accent5 37 2" xfId="5441"/>
    <cellStyle name="60% - Accent5 37 3" xfId="6054"/>
    <cellStyle name="60% - Accent5 38" xfId="4434"/>
    <cellStyle name="60% - Accent5 38 2" xfId="5513"/>
    <cellStyle name="60% - Accent5 38 3" xfId="6125"/>
    <cellStyle name="60% - Accent5 39" xfId="4653"/>
    <cellStyle name="60% - Accent5 39 2" xfId="5679"/>
    <cellStyle name="60% - Accent5 39 3" xfId="6289"/>
    <cellStyle name="60% - Accent5 4" xfId="1369"/>
    <cellStyle name="60% - Accent5 40" xfId="4477"/>
    <cellStyle name="60% - Accent5 40 2" xfId="5547"/>
    <cellStyle name="60% - Accent5 40 3" xfId="6159"/>
    <cellStyle name="60% - Accent5 41" xfId="4680"/>
    <cellStyle name="60% - Accent5 41 2" xfId="5697"/>
    <cellStyle name="60% - Accent5 41 3" xfId="6307"/>
    <cellStyle name="60% - Accent5 42" xfId="4555"/>
    <cellStyle name="60% - Accent5 42 2" xfId="5614"/>
    <cellStyle name="60% - Accent5 42 3" xfId="6225"/>
    <cellStyle name="60% - Accent5 43" xfId="4725"/>
    <cellStyle name="60% - Accent5 43 2" xfId="5734"/>
    <cellStyle name="60% - Accent5 43 3" xfId="6344"/>
    <cellStyle name="60% - Accent5 44" xfId="4766"/>
    <cellStyle name="60% - Accent5 44 2" xfId="5767"/>
    <cellStyle name="60% - Accent5 44 3" xfId="6377"/>
    <cellStyle name="60% - Accent5 45" xfId="4746"/>
    <cellStyle name="60% - Accent5 45 2" xfId="5749"/>
    <cellStyle name="60% - Accent5 45 3" xfId="6359"/>
    <cellStyle name="60% - Accent5 46" xfId="4823"/>
    <cellStyle name="60% - Accent5 47" xfId="5204"/>
    <cellStyle name="60% - Accent5 5" xfId="1370"/>
    <cellStyle name="60% - Accent5 6" xfId="1371"/>
    <cellStyle name="60% - Accent5 7" xfId="1372"/>
    <cellStyle name="60% - Accent5 8" xfId="1373"/>
    <cellStyle name="60% - Accent5 9" xfId="1374"/>
    <cellStyle name="60% - Accent6" xfId="1375"/>
    <cellStyle name="60% - Accent6 10" xfId="1376"/>
    <cellStyle name="60% - Accent6 11" xfId="1377"/>
    <cellStyle name="60% - Accent6 12" xfId="1378"/>
    <cellStyle name="60% - Accent6 13" xfId="1379"/>
    <cellStyle name="60% - Accent6 14" xfId="1380"/>
    <cellStyle name="60% - Accent6 15" xfId="1381"/>
    <cellStyle name="60% - Accent6 16" xfId="1382"/>
    <cellStyle name="60% - Accent6 17" xfId="1383"/>
    <cellStyle name="60% - Accent6 18" xfId="1384"/>
    <cellStyle name="60% - Accent6 19" xfId="1385"/>
    <cellStyle name="60% - Accent6 2" xfId="1386"/>
    <cellStyle name="60% - Accent6 2 2" xfId="1387"/>
    <cellStyle name="60% - Accent6 2 3" xfId="1388"/>
    <cellStyle name="60% - Accent6 2_U625 2nd Row 702K" xfId="1389"/>
    <cellStyle name="60% - Accent6 20" xfId="1390"/>
    <cellStyle name="60% - Accent6 21" xfId="1391"/>
    <cellStyle name="60% - Accent6 22" xfId="1392"/>
    <cellStyle name="60% - Accent6 23" xfId="1393"/>
    <cellStyle name="60% - Accent6 24" xfId="1394"/>
    <cellStyle name="60% - Accent6 25" xfId="1395"/>
    <cellStyle name="60% - Accent6 26" xfId="1396"/>
    <cellStyle name="60% - Accent6 27" xfId="1397"/>
    <cellStyle name="60% - Accent6 27 2" xfId="1398"/>
    <cellStyle name="60% - Accent6 27 3" xfId="1399"/>
    <cellStyle name="60% - Accent6 27 4" xfId="1400"/>
    <cellStyle name="60% - Accent6 27 5" xfId="1401"/>
    <cellStyle name="60% - Accent6 27 6" xfId="1402"/>
    <cellStyle name="60% - Accent6 28" xfId="1403"/>
    <cellStyle name="60% - Accent6 29" xfId="1404"/>
    <cellStyle name="60% - Accent6 3" xfId="1405"/>
    <cellStyle name="60% - Accent6 30" xfId="1406"/>
    <cellStyle name="60% - Accent6 31" xfId="1407"/>
    <cellStyle name="60% - Accent6 32" xfId="4032"/>
    <cellStyle name="60% - Accent6 32 2" xfId="5313"/>
    <cellStyle name="60% - Accent6 32 3" xfId="5927"/>
    <cellStyle name="60% - Accent6 33" xfId="4094"/>
    <cellStyle name="60% - Accent6 33 2" xfId="5337"/>
    <cellStyle name="60% - Accent6 33 3" xfId="5951"/>
    <cellStyle name="60% - Accent6 34" xfId="4451"/>
    <cellStyle name="60% - Accent6 34 2" xfId="5524"/>
    <cellStyle name="60% - Accent6 34 3" xfId="6136"/>
    <cellStyle name="60% - Accent6 35" xfId="4149"/>
    <cellStyle name="60% - Accent6 35 2" xfId="5384"/>
    <cellStyle name="60% - Accent6 35 3" xfId="5998"/>
    <cellStyle name="60% - Accent6 36" xfId="4449"/>
    <cellStyle name="60% - Accent6 36 2" xfId="5522"/>
    <cellStyle name="60% - Accent6 36 3" xfId="6134"/>
    <cellStyle name="60% - Accent6 37" xfId="4221"/>
    <cellStyle name="60% - Accent6 37 2" xfId="5440"/>
    <cellStyle name="60% - Accent6 37 3" xfId="6053"/>
    <cellStyle name="60% - Accent6 38" xfId="4433"/>
    <cellStyle name="60% - Accent6 38 2" xfId="5512"/>
    <cellStyle name="60% - Accent6 38 3" xfId="6124"/>
    <cellStyle name="60% - Accent6 39" xfId="4652"/>
    <cellStyle name="60% - Accent6 39 2" xfId="5678"/>
    <cellStyle name="60% - Accent6 39 3" xfId="6288"/>
    <cellStyle name="60% - Accent6 4" xfId="1408"/>
    <cellStyle name="60% - Accent6 40" xfId="4476"/>
    <cellStyle name="60% - Accent6 40 2" xfId="5546"/>
    <cellStyle name="60% - Accent6 40 3" xfId="6158"/>
    <cellStyle name="60% - Accent6 41" xfId="4679"/>
    <cellStyle name="60% - Accent6 41 2" xfId="5696"/>
    <cellStyle name="60% - Accent6 41 3" xfId="6306"/>
    <cellStyle name="60% - Accent6 42" xfId="4554"/>
    <cellStyle name="60% - Accent6 42 2" xfId="5613"/>
    <cellStyle name="60% - Accent6 42 3" xfId="6224"/>
    <cellStyle name="60% - Accent6 43" xfId="4724"/>
    <cellStyle name="60% - Accent6 43 2" xfId="5733"/>
    <cellStyle name="60% - Accent6 43 3" xfId="6343"/>
    <cellStyle name="60% - Accent6 44" xfId="4765"/>
    <cellStyle name="60% - Accent6 44 2" xfId="5766"/>
    <cellStyle name="60% - Accent6 44 3" xfId="6376"/>
    <cellStyle name="60% - Accent6 45" xfId="4745"/>
    <cellStyle name="60% - Accent6 45 2" xfId="5748"/>
    <cellStyle name="60% - Accent6 45 3" xfId="6358"/>
    <cellStyle name="60% - Accent6 46" xfId="4822"/>
    <cellStyle name="60% - Accent6 47" xfId="5203"/>
    <cellStyle name="60% - Accent6 5" xfId="1409"/>
    <cellStyle name="60% - Accent6 6" xfId="1410"/>
    <cellStyle name="60% - Accent6 7" xfId="1411"/>
    <cellStyle name="60% - Accent6 8" xfId="1412"/>
    <cellStyle name="60% - Accent6 9" xfId="1413"/>
    <cellStyle name="60% - Akzent1" xfId="1414"/>
    <cellStyle name="60% - Akzent2" xfId="1415"/>
    <cellStyle name="60% - Akzent3" xfId="1416"/>
    <cellStyle name="60% - Akzent4" xfId="1417"/>
    <cellStyle name="60% - Akzent5" xfId="1418"/>
    <cellStyle name="60% - Akzent6" xfId="1419"/>
    <cellStyle name="60% - Énfasis1" xfId="1420"/>
    <cellStyle name="60% - Énfasis2" xfId="1421"/>
    <cellStyle name="60% - Énfasis3" xfId="1422"/>
    <cellStyle name="60% - Énfasis4" xfId="1423"/>
    <cellStyle name="60% - Énfasis5" xfId="1424"/>
    <cellStyle name="60% - Énfasis6" xfId="1425"/>
    <cellStyle name="60% - 강조색1" xfId="4033"/>
    <cellStyle name="60% - 강조색1 2" xfId="4034"/>
    <cellStyle name="60% - 강조색1 3" xfId="4035"/>
    <cellStyle name="60% - 강조색1 4" xfId="4036"/>
    <cellStyle name="60% - 강조색2" xfId="4037"/>
    <cellStyle name="60% - 강조색2 2" xfId="4038"/>
    <cellStyle name="60% - 강조색2 3" xfId="4039"/>
    <cellStyle name="60% - 강조색2 4" xfId="4040"/>
    <cellStyle name="60% - 강조색3" xfId="4041"/>
    <cellStyle name="60% - 강조색3 2" xfId="4042"/>
    <cellStyle name="60% - 강조색3 3" xfId="4043"/>
    <cellStyle name="60% - 강조색3 4" xfId="4044"/>
    <cellStyle name="60% - 강조색4" xfId="4045"/>
    <cellStyle name="60% - 강조색4 2" xfId="4046"/>
    <cellStyle name="60% - 강조색4 3" xfId="4047"/>
    <cellStyle name="60% - 강조색4 4" xfId="4048"/>
    <cellStyle name="60% - 강조색5" xfId="4049"/>
    <cellStyle name="60% - 강조색5 2" xfId="4050"/>
    <cellStyle name="60% - 강조색5 3" xfId="4051"/>
    <cellStyle name="60% - 강조색5 4" xfId="4052"/>
    <cellStyle name="60% - 강조색6" xfId="4053"/>
    <cellStyle name="60% - 강조색6 2" xfId="4054"/>
    <cellStyle name="60% - 강조색6 3" xfId="4055"/>
    <cellStyle name="60% - 강조색6 4" xfId="4056"/>
    <cellStyle name="6mitP" xfId="1426"/>
    <cellStyle name="6mitP 2" xfId="1427"/>
    <cellStyle name="9mitP" xfId="1428"/>
    <cellStyle name="9mitP 2" xfId="1429"/>
    <cellStyle name="ac" xfId="1430"/>
    <cellStyle name="ac 2" xfId="1431"/>
    <cellStyle name="ac 2 2" xfId="1432"/>
    <cellStyle name="ac 2 2 2" xfId="1433"/>
    <cellStyle name="ac 2 2 3" xfId="1434"/>
    <cellStyle name="ac 2 2 4" xfId="1435"/>
    <cellStyle name="ac 2 2 5" xfId="1436"/>
    <cellStyle name="ac 2 2 6" xfId="1437"/>
    <cellStyle name="ac 2 3" xfId="1438"/>
    <cellStyle name="ac 2 4" xfId="1439"/>
    <cellStyle name="ac 2 5" xfId="1440"/>
    <cellStyle name="ac 2 6" xfId="1441"/>
    <cellStyle name="ac 3" xfId="1442"/>
    <cellStyle name="ac 4" xfId="1443"/>
    <cellStyle name="ac 5" xfId="1444"/>
    <cellStyle name="ac 6" xfId="1445"/>
    <cellStyle name="ac 7" xfId="1446"/>
    <cellStyle name="Accent1" xfId="1447"/>
    <cellStyle name="Accent1 10" xfId="1448"/>
    <cellStyle name="Accent1 11" xfId="1449"/>
    <cellStyle name="Accent1 12" xfId="1450"/>
    <cellStyle name="Accent1 13" xfId="1451"/>
    <cellStyle name="Accent1 14" xfId="1452"/>
    <cellStyle name="Accent1 15" xfId="1453"/>
    <cellStyle name="Accent1 16" xfId="1454"/>
    <cellStyle name="Accent1 17" xfId="1455"/>
    <cellStyle name="Accent1 18" xfId="1456"/>
    <cellStyle name="Accent1 19" xfId="1457"/>
    <cellStyle name="Accent1 2" xfId="1458"/>
    <cellStyle name="Accent1 2 2" xfId="1459"/>
    <cellStyle name="Accent1 2 3" xfId="1460"/>
    <cellStyle name="Accent1 2_U625 2nd Row 702K" xfId="1461"/>
    <cellStyle name="Accent1 20" xfId="1462"/>
    <cellStyle name="Accent1 21" xfId="1463"/>
    <cellStyle name="Accent1 22" xfId="1464"/>
    <cellStyle name="Accent1 23" xfId="1465"/>
    <cellStyle name="Accent1 24" xfId="1466"/>
    <cellStyle name="Accent1 25" xfId="1467"/>
    <cellStyle name="Accent1 26" xfId="1468"/>
    <cellStyle name="Accent1 27" xfId="1469"/>
    <cellStyle name="Accent1 27 2" xfId="1470"/>
    <cellStyle name="Accent1 27 3" xfId="1471"/>
    <cellStyle name="Accent1 27 4" xfId="1472"/>
    <cellStyle name="Accent1 27 5" xfId="1473"/>
    <cellStyle name="Accent1 27 6" xfId="1474"/>
    <cellStyle name="Accent1 28" xfId="1475"/>
    <cellStyle name="Accent1 29" xfId="1476"/>
    <cellStyle name="Accent1 3" xfId="1477"/>
    <cellStyle name="Accent1 30" xfId="1478"/>
    <cellStyle name="Accent1 31" xfId="1479"/>
    <cellStyle name="Accent1 32" xfId="4059"/>
    <cellStyle name="Accent1 32 2" xfId="5316"/>
    <cellStyle name="Accent1 32 3" xfId="5930"/>
    <cellStyle name="Accent1 33" xfId="4057"/>
    <cellStyle name="Accent1 33 2" xfId="5314"/>
    <cellStyle name="Accent1 33 3" xfId="5928"/>
    <cellStyle name="Accent1 34" xfId="4427"/>
    <cellStyle name="Accent1 34 2" xfId="5507"/>
    <cellStyle name="Accent1 34 3" xfId="6119"/>
    <cellStyle name="Accent1 35" xfId="4107"/>
    <cellStyle name="Accent1 35 2" xfId="5350"/>
    <cellStyle name="Accent1 35 3" xfId="5964"/>
    <cellStyle name="Accent1 36" xfId="4419"/>
    <cellStyle name="Accent1 36 2" xfId="5499"/>
    <cellStyle name="Accent1 36 3" xfId="6111"/>
    <cellStyle name="Accent1 37" xfId="4184"/>
    <cellStyle name="Accent1 37 2" xfId="5417"/>
    <cellStyle name="Accent1 37 3" xfId="6031"/>
    <cellStyle name="Accent1 38" xfId="4376"/>
    <cellStyle name="Accent1 38 2" xfId="5473"/>
    <cellStyle name="Accent1 38 3" xfId="6085"/>
    <cellStyle name="Accent1 39" xfId="4613"/>
    <cellStyle name="Accent1 39 2" xfId="5649"/>
    <cellStyle name="Accent1 39 3" xfId="6259"/>
    <cellStyle name="Accent1 4" xfId="1480"/>
    <cellStyle name="Accent1 40" xfId="4431"/>
    <cellStyle name="Accent1 40 2" xfId="5511"/>
    <cellStyle name="Accent1 40 3" xfId="6123"/>
    <cellStyle name="Accent1 41" xfId="4648"/>
    <cellStyle name="Accent1 41 2" xfId="5674"/>
    <cellStyle name="Accent1 41 3" xfId="6284"/>
    <cellStyle name="Accent1 42" xfId="4503"/>
    <cellStyle name="Accent1 42 2" xfId="5570"/>
    <cellStyle name="Accent1 42 3" xfId="6182"/>
    <cellStyle name="Accent1 43" xfId="4678"/>
    <cellStyle name="Accent1 43 2" xfId="5695"/>
    <cellStyle name="Accent1 43 3" xfId="6305"/>
    <cellStyle name="Accent1 44" xfId="4552"/>
    <cellStyle name="Accent1 44 2" xfId="5612"/>
    <cellStyle name="Accent1 44 3" xfId="6223"/>
    <cellStyle name="Accent1 45" xfId="4711"/>
    <cellStyle name="Accent1 45 2" xfId="5720"/>
    <cellStyle name="Accent1 45 3" xfId="6330"/>
    <cellStyle name="Accent1 46" xfId="4773"/>
    <cellStyle name="Accent1 47" xfId="5202"/>
    <cellStyle name="Accent1 5" xfId="1481"/>
    <cellStyle name="Accent1 6" xfId="1482"/>
    <cellStyle name="Accent1 7" xfId="1483"/>
    <cellStyle name="Accent1 8" xfId="1484"/>
    <cellStyle name="Accent1 9" xfId="1485"/>
    <cellStyle name="Accent2" xfId="1486"/>
    <cellStyle name="Accent2 10" xfId="1487"/>
    <cellStyle name="Accent2 11" xfId="1488"/>
    <cellStyle name="Accent2 12" xfId="1489"/>
    <cellStyle name="Accent2 13" xfId="1490"/>
    <cellStyle name="Accent2 14" xfId="1491"/>
    <cellStyle name="Accent2 15" xfId="1492"/>
    <cellStyle name="Accent2 16" xfId="1493"/>
    <cellStyle name="Accent2 17" xfId="1494"/>
    <cellStyle name="Accent2 18" xfId="1495"/>
    <cellStyle name="Accent2 19" xfId="1496"/>
    <cellStyle name="Accent2 2" xfId="1497"/>
    <cellStyle name="Accent2 2 2" xfId="1498"/>
    <cellStyle name="Accent2 2 3" xfId="1499"/>
    <cellStyle name="Accent2 2_U625 2nd Row 702K" xfId="1500"/>
    <cellStyle name="Accent2 20" xfId="1501"/>
    <cellStyle name="Accent2 21" xfId="1502"/>
    <cellStyle name="Accent2 22" xfId="1503"/>
    <cellStyle name="Accent2 23" xfId="1504"/>
    <cellStyle name="Accent2 24" xfId="1505"/>
    <cellStyle name="Accent2 25" xfId="1506"/>
    <cellStyle name="Accent2 26" xfId="1507"/>
    <cellStyle name="Accent2 27" xfId="1508"/>
    <cellStyle name="Accent2 27 2" xfId="1509"/>
    <cellStyle name="Accent2 27 3" xfId="1510"/>
    <cellStyle name="Accent2 27 4" xfId="1511"/>
    <cellStyle name="Accent2 27 5" xfId="1512"/>
    <cellStyle name="Accent2 27 6" xfId="1513"/>
    <cellStyle name="Accent2 28" xfId="1514"/>
    <cellStyle name="Accent2 29" xfId="1515"/>
    <cellStyle name="Accent2 3" xfId="1516"/>
    <cellStyle name="Accent2 30" xfId="1517"/>
    <cellStyle name="Accent2 31" xfId="1518"/>
    <cellStyle name="Accent2 32" xfId="4060"/>
    <cellStyle name="Accent2 32 2" xfId="5317"/>
    <cellStyle name="Accent2 32 3" xfId="5931"/>
    <cellStyle name="Accent2 33" xfId="3996"/>
    <cellStyle name="Accent2 33 2" xfId="5301"/>
    <cellStyle name="Accent2 33 3" xfId="5915"/>
    <cellStyle name="Accent2 34" xfId="4426"/>
    <cellStyle name="Accent2 34 2" xfId="5506"/>
    <cellStyle name="Accent2 34 3" xfId="6118"/>
    <cellStyle name="Accent2 35" xfId="4105"/>
    <cellStyle name="Accent2 35 2" xfId="5348"/>
    <cellStyle name="Accent2 35 3" xfId="5962"/>
    <cellStyle name="Accent2 36" xfId="4418"/>
    <cellStyle name="Accent2 36 2" xfId="5498"/>
    <cellStyle name="Accent2 36 3" xfId="6110"/>
    <cellStyle name="Accent2 37" xfId="4183"/>
    <cellStyle name="Accent2 37 2" xfId="5416"/>
    <cellStyle name="Accent2 37 3" xfId="6030"/>
    <cellStyle name="Accent2 38" xfId="4374"/>
    <cellStyle name="Accent2 38 2" xfId="5471"/>
    <cellStyle name="Accent2 38 3" xfId="6083"/>
    <cellStyle name="Accent2 39" xfId="4612"/>
    <cellStyle name="Accent2 39 2" xfId="5648"/>
    <cellStyle name="Accent2 39 3" xfId="6258"/>
    <cellStyle name="Accent2 4" xfId="1519"/>
    <cellStyle name="Accent2 40" xfId="4430"/>
    <cellStyle name="Accent2 40 2" xfId="5510"/>
    <cellStyle name="Accent2 40 3" xfId="6122"/>
    <cellStyle name="Accent2 41" xfId="4647"/>
    <cellStyle name="Accent2 41 2" xfId="5673"/>
    <cellStyle name="Accent2 41 3" xfId="6283"/>
    <cellStyle name="Accent2 42" xfId="4498"/>
    <cellStyle name="Accent2 42 2" xfId="5567"/>
    <cellStyle name="Accent2 42 3" xfId="6179"/>
    <cellStyle name="Accent2 43" xfId="4677"/>
    <cellStyle name="Accent2 43 2" xfId="5694"/>
    <cellStyle name="Accent2 43 3" xfId="6304"/>
    <cellStyle name="Accent2 44" xfId="4551"/>
    <cellStyle name="Accent2 44 2" xfId="5611"/>
    <cellStyle name="Accent2 44 3" xfId="6222"/>
    <cellStyle name="Accent2 45" xfId="4710"/>
    <cellStyle name="Accent2 45 2" xfId="5719"/>
    <cellStyle name="Accent2 45 3" xfId="6329"/>
    <cellStyle name="Accent2 46" xfId="4772"/>
    <cellStyle name="Accent2 47" xfId="5201"/>
    <cellStyle name="Accent2 5" xfId="1520"/>
    <cellStyle name="Accent2 6" xfId="1521"/>
    <cellStyle name="Accent2 7" xfId="1522"/>
    <cellStyle name="Accent2 8" xfId="1523"/>
    <cellStyle name="Accent2 9" xfId="1524"/>
    <cellStyle name="Accent3" xfId="1525"/>
    <cellStyle name="Accent3 10" xfId="1526"/>
    <cellStyle name="Accent3 11" xfId="1527"/>
    <cellStyle name="Accent3 12" xfId="1528"/>
    <cellStyle name="Accent3 13" xfId="1529"/>
    <cellStyle name="Accent3 14" xfId="1530"/>
    <cellStyle name="Accent3 15" xfId="1531"/>
    <cellStyle name="Accent3 16" xfId="1532"/>
    <cellStyle name="Accent3 17" xfId="1533"/>
    <cellStyle name="Accent3 18" xfId="1534"/>
    <cellStyle name="Accent3 19" xfId="1535"/>
    <cellStyle name="Accent3 2" xfId="1536"/>
    <cellStyle name="Accent3 2 2" xfId="1537"/>
    <cellStyle name="Accent3 2 3" xfId="1538"/>
    <cellStyle name="Accent3 2_U625 2nd Row 702K" xfId="1539"/>
    <cellStyle name="Accent3 20" xfId="1540"/>
    <cellStyle name="Accent3 21" xfId="1541"/>
    <cellStyle name="Accent3 22" xfId="1542"/>
    <cellStyle name="Accent3 23" xfId="1543"/>
    <cellStyle name="Accent3 24" xfId="1544"/>
    <cellStyle name="Accent3 25" xfId="1545"/>
    <cellStyle name="Accent3 26" xfId="1546"/>
    <cellStyle name="Accent3 27" xfId="1547"/>
    <cellStyle name="Accent3 27 2" xfId="1548"/>
    <cellStyle name="Accent3 27 3" xfId="1549"/>
    <cellStyle name="Accent3 27 4" xfId="1550"/>
    <cellStyle name="Accent3 27 5" xfId="1551"/>
    <cellStyle name="Accent3 27 6" xfId="1552"/>
    <cellStyle name="Accent3 28" xfId="1553"/>
    <cellStyle name="Accent3 29" xfId="1554"/>
    <cellStyle name="Accent3 3" xfId="1555"/>
    <cellStyle name="Accent3 30" xfId="1556"/>
    <cellStyle name="Accent3 31" xfId="1557"/>
    <cellStyle name="Accent3 32" xfId="4061"/>
    <cellStyle name="Accent3 32 2" xfId="5318"/>
    <cellStyle name="Accent3 32 3" xfId="5932"/>
    <cellStyle name="Accent3 33" xfId="3995"/>
    <cellStyle name="Accent3 33 2" xfId="5300"/>
    <cellStyle name="Accent3 33 3" xfId="5914"/>
    <cellStyle name="Accent3 34" xfId="4425"/>
    <cellStyle name="Accent3 34 2" xfId="5505"/>
    <cellStyle name="Accent3 34 3" xfId="6117"/>
    <cellStyle name="Accent3 35" xfId="4103"/>
    <cellStyle name="Accent3 35 2" xfId="5346"/>
    <cellStyle name="Accent3 35 3" xfId="5960"/>
    <cellStyle name="Accent3 36" xfId="4417"/>
    <cellStyle name="Accent3 36 2" xfId="5497"/>
    <cellStyle name="Accent3 36 3" xfId="6109"/>
    <cellStyle name="Accent3 37" xfId="4182"/>
    <cellStyle name="Accent3 37 2" xfId="5415"/>
    <cellStyle name="Accent3 37 3" xfId="6029"/>
    <cellStyle name="Accent3 38" xfId="4372"/>
    <cellStyle name="Accent3 38 2" xfId="5469"/>
    <cellStyle name="Accent3 38 3" xfId="6081"/>
    <cellStyle name="Accent3 39" xfId="4611"/>
    <cellStyle name="Accent3 39 2" xfId="5647"/>
    <cellStyle name="Accent3 39 3" xfId="6257"/>
    <cellStyle name="Accent3 4" xfId="1558"/>
    <cellStyle name="Accent3 40" xfId="4429"/>
    <cellStyle name="Accent3 40 2" xfId="5509"/>
    <cellStyle name="Accent3 40 3" xfId="6121"/>
    <cellStyle name="Accent3 41" xfId="4646"/>
    <cellStyle name="Accent3 41 2" xfId="5672"/>
    <cellStyle name="Accent3 41 3" xfId="6282"/>
    <cellStyle name="Accent3 42" xfId="4497"/>
    <cellStyle name="Accent3 42 2" xfId="5566"/>
    <cellStyle name="Accent3 42 3" xfId="6178"/>
    <cellStyle name="Accent3 43" xfId="4676"/>
    <cellStyle name="Accent3 43 2" xfId="5693"/>
    <cellStyle name="Accent3 43 3" xfId="6303"/>
    <cellStyle name="Accent3 44" xfId="4550"/>
    <cellStyle name="Accent3 44 2" xfId="5610"/>
    <cellStyle name="Accent3 44 3" xfId="6221"/>
    <cellStyle name="Accent3 45" xfId="4709"/>
    <cellStyle name="Accent3 45 2" xfId="5718"/>
    <cellStyle name="Accent3 45 3" xfId="6328"/>
    <cellStyle name="Accent3 46" xfId="4764"/>
    <cellStyle name="Accent3 47" xfId="5200"/>
    <cellStyle name="Accent3 5" xfId="1559"/>
    <cellStyle name="Accent3 6" xfId="1560"/>
    <cellStyle name="Accent3 7" xfId="1561"/>
    <cellStyle name="Accent3 8" xfId="1562"/>
    <cellStyle name="Accent3 9" xfId="1563"/>
    <cellStyle name="Accent4" xfId="1564"/>
    <cellStyle name="Accent4 10" xfId="1565"/>
    <cellStyle name="Accent4 11" xfId="1566"/>
    <cellStyle name="Accent4 12" xfId="1567"/>
    <cellStyle name="Accent4 13" xfId="1568"/>
    <cellStyle name="Accent4 14" xfId="1569"/>
    <cellStyle name="Accent4 15" xfId="1570"/>
    <cellStyle name="Accent4 16" xfId="1571"/>
    <cellStyle name="Accent4 17" xfId="1572"/>
    <cellStyle name="Accent4 18" xfId="1573"/>
    <cellStyle name="Accent4 19" xfId="1574"/>
    <cellStyle name="Accent4 2" xfId="1575"/>
    <cellStyle name="Accent4 2 2" xfId="1576"/>
    <cellStyle name="Accent4 2 3" xfId="1577"/>
    <cellStyle name="Accent4 2_U625 2nd Row 702K" xfId="1578"/>
    <cellStyle name="Accent4 20" xfId="1579"/>
    <cellStyle name="Accent4 21" xfId="1580"/>
    <cellStyle name="Accent4 22" xfId="1581"/>
    <cellStyle name="Accent4 23" xfId="1582"/>
    <cellStyle name="Accent4 24" xfId="1583"/>
    <cellStyle name="Accent4 25" xfId="1584"/>
    <cellStyle name="Accent4 26" xfId="1585"/>
    <cellStyle name="Accent4 27" xfId="1586"/>
    <cellStyle name="Accent4 27 2" xfId="1587"/>
    <cellStyle name="Accent4 27 3" xfId="1588"/>
    <cellStyle name="Accent4 27 4" xfId="1589"/>
    <cellStyle name="Accent4 27 5" xfId="1590"/>
    <cellStyle name="Accent4 27 6" xfId="1591"/>
    <cellStyle name="Accent4 28" xfId="1592"/>
    <cellStyle name="Accent4 29" xfId="1593"/>
    <cellStyle name="Accent4 3" xfId="1594"/>
    <cellStyle name="Accent4 30" xfId="1595"/>
    <cellStyle name="Accent4 31" xfId="1596"/>
    <cellStyle name="Accent4 32" xfId="4062"/>
    <cellStyle name="Accent4 32 2" xfId="5319"/>
    <cellStyle name="Accent4 32 3" xfId="5933"/>
    <cellStyle name="Accent4 33" xfId="3994"/>
    <cellStyle name="Accent4 33 2" xfId="5299"/>
    <cellStyle name="Accent4 33 3" xfId="5913"/>
    <cellStyle name="Accent4 34" xfId="4424"/>
    <cellStyle name="Accent4 34 2" xfId="5504"/>
    <cellStyle name="Accent4 34 3" xfId="6116"/>
    <cellStyle name="Accent4 35" xfId="4102"/>
    <cellStyle name="Accent4 35 2" xfId="5345"/>
    <cellStyle name="Accent4 35 3" xfId="5959"/>
    <cellStyle name="Accent4 36" xfId="4416"/>
    <cellStyle name="Accent4 36 2" xfId="5496"/>
    <cellStyle name="Accent4 36 3" xfId="6108"/>
    <cellStyle name="Accent4 37" xfId="4181"/>
    <cellStyle name="Accent4 37 2" xfId="5414"/>
    <cellStyle name="Accent4 37 3" xfId="6028"/>
    <cellStyle name="Accent4 38" xfId="4359"/>
    <cellStyle name="Accent4 38 2" xfId="5459"/>
    <cellStyle name="Accent4 38 3" xfId="6071"/>
    <cellStyle name="Accent4 39" xfId="4610"/>
    <cellStyle name="Accent4 39 2" xfId="5646"/>
    <cellStyle name="Accent4 39 3" xfId="6256"/>
    <cellStyle name="Accent4 4" xfId="1597"/>
    <cellStyle name="Accent4 40" xfId="4428"/>
    <cellStyle name="Accent4 40 2" xfId="5508"/>
    <cellStyle name="Accent4 40 3" xfId="6120"/>
    <cellStyle name="Accent4 41" xfId="4645"/>
    <cellStyle name="Accent4 41 2" xfId="5671"/>
    <cellStyle name="Accent4 41 3" xfId="6281"/>
    <cellStyle name="Accent4 42" xfId="4496"/>
    <cellStyle name="Accent4 42 2" xfId="5565"/>
    <cellStyle name="Accent4 42 3" xfId="6177"/>
    <cellStyle name="Accent4 43" xfId="4675"/>
    <cellStyle name="Accent4 43 2" xfId="5692"/>
    <cellStyle name="Accent4 43 3" xfId="6302"/>
    <cellStyle name="Accent4 44" xfId="4549"/>
    <cellStyle name="Accent4 44 2" xfId="5609"/>
    <cellStyle name="Accent4 44 3" xfId="6220"/>
    <cellStyle name="Accent4 45" xfId="4707"/>
    <cellStyle name="Accent4 45 2" xfId="5716"/>
    <cellStyle name="Accent4 45 3" xfId="6326"/>
    <cellStyle name="Accent4 46" xfId="4696"/>
    <cellStyle name="Accent4 47" xfId="5199"/>
    <cellStyle name="Accent4 5" xfId="1598"/>
    <cellStyle name="Accent4 6" xfId="1599"/>
    <cellStyle name="Accent4 7" xfId="1600"/>
    <cellStyle name="Accent4 8" xfId="1601"/>
    <cellStyle name="Accent4 9" xfId="1602"/>
    <cellStyle name="Accent5" xfId="1603"/>
    <cellStyle name="Accent5 10" xfId="1604"/>
    <cellStyle name="Accent5 11" xfId="1605"/>
    <cellStyle name="Accent5 12" xfId="1606"/>
    <cellStyle name="Accent5 13" xfId="1607"/>
    <cellStyle name="Accent5 14" xfId="1608"/>
    <cellStyle name="Accent5 15" xfId="1609"/>
    <cellStyle name="Accent5 16" xfId="1610"/>
    <cellStyle name="Accent5 17" xfId="1611"/>
    <cellStyle name="Accent5 18" xfId="1612"/>
    <cellStyle name="Accent5 19" xfId="1613"/>
    <cellStyle name="Accent5 2" xfId="1614"/>
    <cellStyle name="Accent5 2 2" xfId="1615"/>
    <cellStyle name="Accent5 2 3" xfId="1616"/>
    <cellStyle name="Accent5 20" xfId="1617"/>
    <cellStyle name="Accent5 21" xfId="1618"/>
    <cellStyle name="Accent5 22" xfId="1619"/>
    <cellStyle name="Accent5 23" xfId="1620"/>
    <cellStyle name="Accent5 24" xfId="1621"/>
    <cellStyle name="Accent5 25" xfId="1622"/>
    <cellStyle name="Accent5 26" xfId="1623"/>
    <cellStyle name="Accent5 27" xfId="1624"/>
    <cellStyle name="Accent5 27 2" xfId="1625"/>
    <cellStyle name="Accent5 27 3" xfId="1626"/>
    <cellStyle name="Accent5 27 4" xfId="1627"/>
    <cellStyle name="Accent5 27 5" xfId="1628"/>
    <cellStyle name="Accent5 27 6" xfId="1629"/>
    <cellStyle name="Accent5 28" xfId="1630"/>
    <cellStyle name="Accent5 29" xfId="1631"/>
    <cellStyle name="Accent5 3" xfId="1632"/>
    <cellStyle name="Accent5 30" xfId="1633"/>
    <cellStyle name="Accent5 31" xfId="1634"/>
    <cellStyle name="Accent5 32" xfId="4063"/>
    <cellStyle name="Accent5 32 2" xfId="5320"/>
    <cellStyle name="Accent5 32 3" xfId="5934"/>
    <cellStyle name="Accent5 33" xfId="3993"/>
    <cellStyle name="Accent5 33 2" xfId="5298"/>
    <cellStyle name="Accent5 33 3" xfId="5912"/>
    <cellStyle name="Accent5 34" xfId="4423"/>
    <cellStyle name="Accent5 34 2" xfId="5503"/>
    <cellStyle name="Accent5 34 3" xfId="6115"/>
    <cellStyle name="Accent5 35" xfId="4101"/>
    <cellStyle name="Accent5 35 2" xfId="5344"/>
    <cellStyle name="Accent5 35 3" xfId="5958"/>
    <cellStyle name="Accent5 36" xfId="4415"/>
    <cellStyle name="Accent5 36 2" xfId="5495"/>
    <cellStyle name="Accent5 36 3" xfId="6107"/>
    <cellStyle name="Accent5 37" xfId="4180"/>
    <cellStyle name="Accent5 37 2" xfId="5413"/>
    <cellStyle name="Accent5 37 3" xfId="6027"/>
    <cellStyle name="Accent5 38" xfId="4370"/>
    <cellStyle name="Accent5 38 2" xfId="5467"/>
    <cellStyle name="Accent5 38 3" xfId="6079"/>
    <cellStyle name="Accent5 39" xfId="4609"/>
    <cellStyle name="Accent5 39 2" xfId="5645"/>
    <cellStyle name="Accent5 39 3" xfId="6255"/>
    <cellStyle name="Accent5 4" xfId="1635"/>
    <cellStyle name="Accent5 40" xfId="4421"/>
    <cellStyle name="Accent5 40 2" xfId="5501"/>
    <cellStyle name="Accent5 40 3" xfId="6113"/>
    <cellStyle name="Accent5 41" xfId="4644"/>
    <cellStyle name="Accent5 41 2" xfId="5670"/>
    <cellStyle name="Accent5 41 3" xfId="6280"/>
    <cellStyle name="Accent5 42" xfId="4495"/>
    <cellStyle name="Accent5 42 2" xfId="5564"/>
    <cellStyle name="Accent5 42 3" xfId="6176"/>
    <cellStyle name="Accent5 43" xfId="4674"/>
    <cellStyle name="Accent5 43 2" xfId="5691"/>
    <cellStyle name="Accent5 43 3" xfId="6301"/>
    <cellStyle name="Accent5 44" xfId="4548"/>
    <cellStyle name="Accent5 44 2" xfId="5608"/>
    <cellStyle name="Accent5 44 3" xfId="6219"/>
    <cellStyle name="Accent5 45" xfId="4703"/>
    <cellStyle name="Accent5 45 2" xfId="5713"/>
    <cellStyle name="Accent5 45 3" xfId="6323"/>
    <cellStyle name="Accent5 46" xfId="4695"/>
    <cellStyle name="Accent5 47" xfId="5198"/>
    <cellStyle name="Accent5 5" xfId="1636"/>
    <cellStyle name="Accent5 6" xfId="1637"/>
    <cellStyle name="Accent5 7" xfId="1638"/>
    <cellStyle name="Accent5 8" xfId="1639"/>
    <cellStyle name="Accent5 9" xfId="1640"/>
    <cellStyle name="Accent6" xfId="1641"/>
    <cellStyle name="Accent6 10" xfId="1642"/>
    <cellStyle name="Accent6 11" xfId="1643"/>
    <cellStyle name="Accent6 12" xfId="1644"/>
    <cellStyle name="Accent6 13" xfId="1645"/>
    <cellStyle name="Accent6 14" xfId="1646"/>
    <cellStyle name="Accent6 15" xfId="1647"/>
    <cellStyle name="Accent6 16" xfId="1648"/>
    <cellStyle name="Accent6 17" xfId="1649"/>
    <cellStyle name="Accent6 18" xfId="1650"/>
    <cellStyle name="Accent6 19" xfId="1651"/>
    <cellStyle name="Accent6 2" xfId="1652"/>
    <cellStyle name="Accent6 2 2" xfId="1653"/>
    <cellStyle name="Accent6 2 3" xfId="1654"/>
    <cellStyle name="Accent6 2_U625 2nd Row 702K" xfId="1655"/>
    <cellStyle name="Accent6 20" xfId="1656"/>
    <cellStyle name="Accent6 21" xfId="1657"/>
    <cellStyle name="Accent6 22" xfId="1658"/>
    <cellStyle name="Accent6 23" xfId="1659"/>
    <cellStyle name="Accent6 24" xfId="1660"/>
    <cellStyle name="Accent6 25" xfId="1661"/>
    <cellStyle name="Accent6 26" xfId="1662"/>
    <cellStyle name="Accent6 27" xfId="1663"/>
    <cellStyle name="Accent6 27 2" xfId="1664"/>
    <cellStyle name="Accent6 27 3" xfId="1665"/>
    <cellStyle name="Accent6 27 4" xfId="1666"/>
    <cellStyle name="Accent6 27 5" xfId="1667"/>
    <cellStyle name="Accent6 27 6" xfId="1668"/>
    <cellStyle name="Accent6 28" xfId="1669"/>
    <cellStyle name="Accent6 29" xfId="1670"/>
    <cellStyle name="Accent6 3" xfId="1671"/>
    <cellStyle name="Accent6 30" xfId="1672"/>
    <cellStyle name="Accent6 31" xfId="1673"/>
    <cellStyle name="Accent6 32" xfId="4064"/>
    <cellStyle name="Accent6 32 2" xfId="5321"/>
    <cellStyle name="Accent6 32 3" xfId="5935"/>
    <cellStyle name="Accent6 33" xfId="3992"/>
    <cellStyle name="Accent6 33 2" xfId="5297"/>
    <cellStyle name="Accent6 33 3" xfId="5911"/>
    <cellStyle name="Accent6 34" xfId="4422"/>
    <cellStyle name="Accent6 34 2" xfId="5502"/>
    <cellStyle name="Accent6 34 3" xfId="6114"/>
    <cellStyle name="Accent6 35" xfId="4100"/>
    <cellStyle name="Accent6 35 2" xfId="5343"/>
    <cellStyle name="Accent6 35 3" xfId="5957"/>
    <cellStyle name="Accent6 36" xfId="4414"/>
    <cellStyle name="Accent6 36 2" xfId="5494"/>
    <cellStyle name="Accent6 36 3" xfId="6106"/>
    <cellStyle name="Accent6 37" xfId="4179"/>
    <cellStyle name="Accent6 37 2" xfId="5412"/>
    <cellStyle name="Accent6 37 3" xfId="6026"/>
    <cellStyle name="Accent6 38" xfId="4619"/>
    <cellStyle name="Accent6 38 2" xfId="5651"/>
    <cellStyle name="Accent6 38 3" xfId="6261"/>
    <cellStyle name="Accent6 39" xfId="4608"/>
    <cellStyle name="Accent6 39 2" xfId="5644"/>
    <cellStyle name="Accent6 39 3" xfId="6254"/>
    <cellStyle name="Accent6 4" xfId="1674"/>
    <cellStyle name="Accent6 40" xfId="4420"/>
    <cellStyle name="Accent6 40 2" xfId="5500"/>
    <cellStyle name="Accent6 40 3" xfId="6112"/>
    <cellStyle name="Accent6 41" xfId="4643"/>
    <cellStyle name="Accent6 41 2" xfId="5669"/>
    <cellStyle name="Accent6 41 3" xfId="6279"/>
    <cellStyle name="Accent6 42" xfId="4475"/>
    <cellStyle name="Accent6 42 2" xfId="5545"/>
    <cellStyle name="Accent6 42 3" xfId="6157"/>
    <cellStyle name="Accent6 43" xfId="4673"/>
    <cellStyle name="Accent6 43 2" xfId="5690"/>
    <cellStyle name="Accent6 43 3" xfId="6300"/>
    <cellStyle name="Accent6 44" xfId="4547"/>
    <cellStyle name="Accent6 44 2" xfId="5607"/>
    <cellStyle name="Accent6 44 3" xfId="6218"/>
    <cellStyle name="Accent6 45" xfId="4702"/>
    <cellStyle name="Accent6 45 2" xfId="5712"/>
    <cellStyle name="Accent6 45 3" xfId="6322"/>
    <cellStyle name="Accent6 46" xfId="4694"/>
    <cellStyle name="Accent6 47" xfId="5197"/>
    <cellStyle name="Accent6 5" xfId="1675"/>
    <cellStyle name="Accent6 6" xfId="1676"/>
    <cellStyle name="Accent6 7" xfId="1677"/>
    <cellStyle name="Accent6 8" xfId="1678"/>
    <cellStyle name="Accent6 9" xfId="1679"/>
    <cellStyle name="AeE­ [0]_°u¸RC×¸n_¾÷A¾º° " xfId="4065"/>
    <cellStyle name="AeE­_°u¸RC×¸n_¾÷A¾º° " xfId="4066"/>
    <cellStyle name="Akzent1" xfId="1680"/>
    <cellStyle name="Akzent2" xfId="1681"/>
    <cellStyle name="Akzent3" xfId="1682"/>
    <cellStyle name="Akzent4" xfId="1683"/>
    <cellStyle name="Akzent5" xfId="1684"/>
    <cellStyle name="Akzent6" xfId="1685"/>
    <cellStyle name="args.style" xfId="1686"/>
    <cellStyle name="Arial 08" xfId="1687"/>
    <cellStyle name="Arial 08 2" xfId="1688"/>
    <cellStyle name="Arial 10" xfId="1689"/>
    <cellStyle name="Arial 12" xfId="1690"/>
    <cellStyle name="Arial 12 2" xfId="1691"/>
    <cellStyle name="Arial 12 2 2" xfId="5033"/>
    <cellStyle name="Arial 12 2 3" xfId="5055"/>
    <cellStyle name="Arial 12 3" xfId="1692"/>
    <cellStyle name="Arial 12 3 2" xfId="5034"/>
    <cellStyle name="Arial 12 3 3" xfId="5054"/>
    <cellStyle name="Arial 12 4" xfId="1693"/>
    <cellStyle name="Arial 12 4 2" xfId="5035"/>
    <cellStyle name="Arial 12 4 3" xfId="5053"/>
    <cellStyle name="Arial 12 5" xfId="1694"/>
    <cellStyle name="Arial 12 5 2" xfId="5036"/>
    <cellStyle name="Arial 12 5 3" xfId="5052"/>
    <cellStyle name="Arial 12 6" xfId="1695"/>
    <cellStyle name="Arial 12 6 2" xfId="5037"/>
    <cellStyle name="Arial 12 6 3" xfId="5051"/>
    <cellStyle name="Arial 12 7" xfId="1696"/>
    <cellStyle name="Arial 12 7 2" xfId="5038"/>
    <cellStyle name="Arial 12 7 3" xfId="4536"/>
    <cellStyle name="Arial 14" xfId="1697"/>
    <cellStyle name="Arial 16" xfId="1698"/>
    <cellStyle name="AÞ¸¶ [0]_°u¸RC×¸n_¾÷A¾º° " xfId="4072"/>
    <cellStyle name="AÞ¸¶_°u¸RC×¸n_¾÷A¾º° " xfId="4073"/>
    <cellStyle name="Ausgabe" xfId="1699"/>
    <cellStyle name="AutoFormat-Optionen" xfId="1700"/>
    <cellStyle name="Bad" xfId="1701"/>
    <cellStyle name="Bad 10" xfId="1702"/>
    <cellStyle name="Bad 11" xfId="1703"/>
    <cellStyle name="Bad 12" xfId="1704"/>
    <cellStyle name="Bad 13" xfId="1705"/>
    <cellStyle name="Bad 14" xfId="1706"/>
    <cellStyle name="Bad 15" xfId="1707"/>
    <cellStyle name="Bad 16" xfId="1708"/>
    <cellStyle name="Bad 17" xfId="1709"/>
    <cellStyle name="Bad 18" xfId="1710"/>
    <cellStyle name="Bad 19" xfId="1711"/>
    <cellStyle name="Bad 2" xfId="1712"/>
    <cellStyle name="Bad 2 2" xfId="1713"/>
    <cellStyle name="Bad 2 3" xfId="1714"/>
    <cellStyle name="Bad 2_U625 2nd Row 702K" xfId="1715"/>
    <cellStyle name="Bad 20" xfId="1716"/>
    <cellStyle name="Bad 21" xfId="1717"/>
    <cellStyle name="Bad 22" xfId="1718"/>
    <cellStyle name="Bad 23" xfId="1719"/>
    <cellStyle name="Bad 24" xfId="1720"/>
    <cellStyle name="Bad 25" xfId="1721"/>
    <cellStyle name="Bad 26" xfId="1722"/>
    <cellStyle name="Bad 27" xfId="1723"/>
    <cellStyle name="Bad 27 2" xfId="1724"/>
    <cellStyle name="Bad 27 3" xfId="1725"/>
    <cellStyle name="Bad 27 4" xfId="1726"/>
    <cellStyle name="Bad 27 5" xfId="1727"/>
    <cellStyle name="Bad 27 6" xfId="1728"/>
    <cellStyle name="Bad 28" xfId="1729"/>
    <cellStyle name="Bad 29" xfId="1730"/>
    <cellStyle name="Bad 3" xfId="1731"/>
    <cellStyle name="Bad 30" xfId="1732"/>
    <cellStyle name="Bad 31" xfId="1733"/>
    <cellStyle name="Bad 32" xfId="4074"/>
    <cellStyle name="Bad 32 2" xfId="5326"/>
    <cellStyle name="Bad 32 3" xfId="5940"/>
    <cellStyle name="Bad 33" xfId="3952"/>
    <cellStyle name="Bad 33 2" xfId="5281"/>
    <cellStyle name="Bad 33 3" xfId="5895"/>
    <cellStyle name="Bad 34" xfId="4412"/>
    <cellStyle name="Bad 34 2" xfId="5493"/>
    <cellStyle name="Bad 34 3" xfId="6105"/>
    <cellStyle name="Bad 35" xfId="4086"/>
    <cellStyle name="Bad 35 2" xfId="5334"/>
    <cellStyle name="Bad 35 3" xfId="5948"/>
    <cellStyle name="Bad 36" xfId="4402"/>
    <cellStyle name="Bad 36 2" xfId="5485"/>
    <cellStyle name="Bad 36 3" xfId="6097"/>
    <cellStyle name="Bad 37" xfId="4160"/>
    <cellStyle name="Bad 37 2" xfId="5394"/>
    <cellStyle name="Bad 37 3" xfId="6008"/>
    <cellStyle name="Bad 38" xfId="4693"/>
    <cellStyle name="Bad 38 2" xfId="5709"/>
    <cellStyle name="Bad 38 3" xfId="6319"/>
    <cellStyle name="Bad 39" xfId="4601"/>
    <cellStyle name="Bad 39 2" xfId="5639"/>
    <cellStyle name="Bad 39 3" xfId="6249"/>
    <cellStyle name="Bad 4" xfId="1734"/>
    <cellStyle name="Bad 40" xfId="4401"/>
    <cellStyle name="Bad 40 2" xfId="5484"/>
    <cellStyle name="Bad 40 3" xfId="6096"/>
    <cellStyle name="Bad 41" xfId="4615"/>
    <cellStyle name="Bad 41 2" xfId="5650"/>
    <cellStyle name="Bad 41 3" xfId="6260"/>
    <cellStyle name="Bad 42" xfId="4461"/>
    <cellStyle name="Bad 42 2" xfId="5534"/>
    <cellStyle name="Bad 42 3" xfId="6146"/>
    <cellStyle name="Bad 43" xfId="4660"/>
    <cellStyle name="Bad 43 2" xfId="5684"/>
    <cellStyle name="Bad 43 3" xfId="6294"/>
    <cellStyle name="Bad 44" xfId="4523"/>
    <cellStyle name="Bad 44 2" xfId="5588"/>
    <cellStyle name="Bad 44 3" xfId="6199"/>
    <cellStyle name="Bad 45" xfId="4692"/>
    <cellStyle name="Bad 45 2" xfId="5708"/>
    <cellStyle name="Bad 45 3" xfId="6318"/>
    <cellStyle name="Bad 46" xfId="4633"/>
    <cellStyle name="Bad 47" xfId="5196"/>
    <cellStyle name="Bad 5" xfId="1735"/>
    <cellStyle name="Bad 6" xfId="1736"/>
    <cellStyle name="Bad 7" xfId="1737"/>
    <cellStyle name="Bad 8" xfId="1738"/>
    <cellStyle name="Bad 9" xfId="1739"/>
    <cellStyle name="Berechnung" xfId="1740"/>
    <cellStyle name="BMW Zahl" xfId="1741"/>
    <cellStyle name="BMW Zahl 2" xfId="1742"/>
    <cellStyle name="BMW Zahl 2 2" xfId="5039"/>
    <cellStyle name="BMW Zahl 2 3" xfId="5045"/>
    <cellStyle name="BMW Zahl 3" xfId="1743"/>
    <cellStyle name="BMW Zahl 3 2" xfId="5040"/>
    <cellStyle name="BMW Zahl 3 3" xfId="5050"/>
    <cellStyle name="BMW Zahl 4" xfId="1744"/>
    <cellStyle name="BMW Zahl 4 2" xfId="5041"/>
    <cellStyle name="BMW Zahl 4 3" xfId="5049"/>
    <cellStyle name="BMW Zahl 5" xfId="1745"/>
    <cellStyle name="BMW Zahl 5 2" xfId="5042"/>
    <cellStyle name="BMW Zahl 5 3" xfId="5048"/>
    <cellStyle name="BMW Zahl 6" xfId="1746"/>
    <cellStyle name="BMW Zahl 6 2" xfId="5043"/>
    <cellStyle name="BMW Zahl 6 3" xfId="5047"/>
    <cellStyle name="BMW Zahl 7" xfId="1747"/>
    <cellStyle name="BMW Zahl 7 2" xfId="5044"/>
    <cellStyle name="BMW Zahl 7 3" xfId="5046"/>
    <cellStyle name="Bolivars" xfId="1748"/>
    <cellStyle name="Brian Header 1" xfId="1749"/>
    <cellStyle name="Brian Normal" xfId="1750"/>
    <cellStyle name="Buena" xfId="1751"/>
    <cellStyle name="BuiltOption_Content" xfId="1752"/>
    <cellStyle name="Ç¥ÁØ_¸Å°¢Ã³¸®ÇöÈ²" xfId="1753"/>
    <cellStyle name="C￥AØ_°u¸RC×¸n_¾÷A¾º° " xfId="4078"/>
    <cellStyle name="Calc Currency (0)" xfId="1754"/>
    <cellStyle name="Calc Currency (0) 2" xfId="1755"/>
    <cellStyle name="Calc Currency (0) 2 2" xfId="1756"/>
    <cellStyle name="Calc Currency (0) 2 2 2" xfId="1757"/>
    <cellStyle name="Calc Currency (0) 2 2 3" xfId="1758"/>
    <cellStyle name="Calc Currency (0) 2 2 4" xfId="1759"/>
    <cellStyle name="Calc Currency (0) 2 2 5" xfId="1760"/>
    <cellStyle name="Calc Currency (0) 2 2 6" xfId="1761"/>
    <cellStyle name="Calc Currency (0) 2 3" xfId="1762"/>
    <cellStyle name="Calc Currency (0) 2 4" xfId="1763"/>
    <cellStyle name="Calc Currency (0) 2 5" xfId="1764"/>
    <cellStyle name="Calc Currency (0) 2 6" xfId="1765"/>
    <cellStyle name="Calc Currency (0) 3" xfId="1766"/>
    <cellStyle name="Calc Currency (0) 4" xfId="1767"/>
    <cellStyle name="Calc Currency (0) 5" xfId="1768"/>
    <cellStyle name="Calc Currency (0) 6" xfId="1769"/>
    <cellStyle name="Calc Currency (0) 7" xfId="1770"/>
    <cellStyle name="Calc Units (2)" xfId="1771"/>
    <cellStyle name="Calc Units (2) 2" xfId="1772"/>
    <cellStyle name="Calc Units (2) 2 2" xfId="1773"/>
    <cellStyle name="Calc Units (2) 2 2 2" xfId="1774"/>
    <cellStyle name="Calc Units (2) 2 2 2 2" xfId="1775"/>
    <cellStyle name="Calc Units (2) 2 2 3" xfId="1776"/>
    <cellStyle name="Calc Units (2) 2 3" xfId="1777"/>
    <cellStyle name="Calc Units (2) 2 3 2" xfId="1778"/>
    <cellStyle name="Calc Units (2) 2 4" xfId="1779"/>
    <cellStyle name="Calc Units (2) 3" xfId="1780"/>
    <cellStyle name="Calc Units (2)_Def" xfId="1781"/>
    <cellStyle name="Calculation" xfId="1782"/>
    <cellStyle name="Calculation 10" xfId="1783"/>
    <cellStyle name="Calculation 11" xfId="1784"/>
    <cellStyle name="Calculation 12" xfId="1785"/>
    <cellStyle name="Calculation 13" xfId="1786"/>
    <cellStyle name="Calculation 14" xfId="1787"/>
    <cellStyle name="Calculation 15" xfId="1788"/>
    <cellStyle name="Calculation 16" xfId="1789"/>
    <cellStyle name="Calculation 17" xfId="1790"/>
    <cellStyle name="Calculation 18" xfId="1791"/>
    <cellStyle name="Calculation 19" xfId="1792"/>
    <cellStyle name="Calculation 2" xfId="1793"/>
    <cellStyle name="Calculation 2 2" xfId="1794"/>
    <cellStyle name="Calculation 2 3" xfId="1795"/>
    <cellStyle name="Calculation 2_U625 2nd Row 702K" xfId="1796"/>
    <cellStyle name="Calculation 20" xfId="1797"/>
    <cellStyle name="Calculation 21" xfId="1798"/>
    <cellStyle name="Calculation 22" xfId="1799"/>
    <cellStyle name="Calculation 23" xfId="1800"/>
    <cellStyle name="Calculation 24" xfId="1801"/>
    <cellStyle name="Calculation 25" xfId="1802"/>
    <cellStyle name="Calculation 26" xfId="1803"/>
    <cellStyle name="Calculation 27" xfId="1804"/>
    <cellStyle name="Calculation 27 2" xfId="1805"/>
    <cellStyle name="Calculation 27 3" xfId="1806"/>
    <cellStyle name="Calculation 27 4" xfId="1807"/>
    <cellStyle name="Calculation 27 5" xfId="1808"/>
    <cellStyle name="Calculation 27 6" xfId="1809"/>
    <cellStyle name="Calculation 28" xfId="1810"/>
    <cellStyle name="Calculation 29" xfId="1811"/>
    <cellStyle name="Calculation 3" xfId="1812"/>
    <cellStyle name="Calculation 30" xfId="1813"/>
    <cellStyle name="Calculation 31" xfId="1814"/>
    <cellStyle name="Calculation 32" xfId="4080"/>
    <cellStyle name="Calculation 32 2" xfId="5331"/>
    <cellStyle name="Calculation 32 3" xfId="5945"/>
    <cellStyle name="Calculation 33" xfId="3946"/>
    <cellStyle name="Calculation 33 2" xfId="5275"/>
    <cellStyle name="Calculation 33 3" xfId="5889"/>
    <cellStyle name="Calculation 34" xfId="4406"/>
    <cellStyle name="Calculation 34 2" xfId="5489"/>
    <cellStyle name="Calculation 34 3" xfId="6101"/>
    <cellStyle name="Calculation 35" xfId="4077"/>
    <cellStyle name="Calculation 35 2" xfId="5329"/>
    <cellStyle name="Calculation 35 3" xfId="5943"/>
    <cellStyle name="Calculation 36" xfId="4394"/>
    <cellStyle name="Calculation 36 2" xfId="5478"/>
    <cellStyle name="Calculation 36 3" xfId="6090"/>
    <cellStyle name="Calculation 37" xfId="4147"/>
    <cellStyle name="Calculation 37 2" xfId="5382"/>
    <cellStyle name="Calculation 37 3" xfId="5996"/>
    <cellStyle name="Calculation 38" xfId="3950"/>
    <cellStyle name="Calculation 38 2" xfId="5279"/>
    <cellStyle name="Calculation 38 3" xfId="5893"/>
    <cellStyle name="Calculation 39" xfId="4584"/>
    <cellStyle name="Calculation 39 2" xfId="5630"/>
    <cellStyle name="Calculation 39 3" xfId="6240"/>
    <cellStyle name="Calculation 4" xfId="1815"/>
    <cellStyle name="Calculation 40" xfId="4389"/>
    <cellStyle name="Calculation 40 2" xfId="5475"/>
    <cellStyle name="Calculation 40 3" xfId="6087"/>
    <cellStyle name="Calculation 41" xfId="4604"/>
    <cellStyle name="Calculation 41 2" xfId="5642"/>
    <cellStyle name="Calculation 41 3" xfId="6252"/>
    <cellStyle name="Calculation 42" xfId="4445"/>
    <cellStyle name="Calculation 42 2" xfId="5520"/>
    <cellStyle name="Calculation 42 3" xfId="6132"/>
    <cellStyle name="Calculation 43" xfId="4650"/>
    <cellStyle name="Calculation 43 2" xfId="5676"/>
    <cellStyle name="Calculation 43 3" xfId="6286"/>
    <cellStyle name="Calculation 44" xfId="4506"/>
    <cellStyle name="Calculation 44 2" xfId="5573"/>
    <cellStyle name="Calculation 44 3" xfId="6185"/>
    <cellStyle name="Calculation 45" xfId="4665"/>
    <cellStyle name="Calculation 45 2" xfId="5686"/>
    <cellStyle name="Calculation 45 3" xfId="6296"/>
    <cellStyle name="Calculation 46" xfId="4565"/>
    <cellStyle name="Calculation 47" xfId="5195"/>
    <cellStyle name="Calculation 5" xfId="1816"/>
    <cellStyle name="Calculation 6" xfId="1817"/>
    <cellStyle name="Calculation 7" xfId="1818"/>
    <cellStyle name="Calculation 8" xfId="1819"/>
    <cellStyle name="Calculation 9" xfId="1820"/>
    <cellStyle name="Cálculo" xfId="1821"/>
    <cellStyle name="category" xfId="1822"/>
    <cellStyle name="Celda de comprobación" xfId="1823"/>
    <cellStyle name="Celda vinculada" xfId="1824"/>
    <cellStyle name="Centered Text" xfId="1825"/>
    <cellStyle name="Check Cell" xfId="1826"/>
    <cellStyle name="Check Cell 10" xfId="1827"/>
    <cellStyle name="Check Cell 11" xfId="1828"/>
    <cellStyle name="Check Cell 12" xfId="1829"/>
    <cellStyle name="Check Cell 13" xfId="1830"/>
    <cellStyle name="Check Cell 14" xfId="1831"/>
    <cellStyle name="Check Cell 15" xfId="1832"/>
    <cellStyle name="Check Cell 16" xfId="1833"/>
    <cellStyle name="Check Cell 17" xfId="1834"/>
    <cellStyle name="Check Cell 18" xfId="1835"/>
    <cellStyle name="Check Cell 19" xfId="1836"/>
    <cellStyle name="Check Cell 2" xfId="1837"/>
    <cellStyle name="Check Cell 2 2" xfId="1838"/>
    <cellStyle name="Check Cell 2 3" xfId="1839"/>
    <cellStyle name="Check Cell 2_U625 2nd Row 702K" xfId="1840"/>
    <cellStyle name="Check Cell 20" xfId="1841"/>
    <cellStyle name="Check Cell 21" xfId="1842"/>
    <cellStyle name="Check Cell 22" xfId="1843"/>
    <cellStyle name="Check Cell 23" xfId="1844"/>
    <cellStyle name="Check Cell 24" xfId="1845"/>
    <cellStyle name="Check Cell 25" xfId="1846"/>
    <cellStyle name="Check Cell 26" xfId="1847"/>
    <cellStyle name="Check Cell 27" xfId="1848"/>
    <cellStyle name="Check Cell 27 2" xfId="1849"/>
    <cellStyle name="Check Cell 27 3" xfId="1850"/>
    <cellStyle name="Check Cell 27 4" xfId="1851"/>
    <cellStyle name="Check Cell 27 5" xfId="1852"/>
    <cellStyle name="Check Cell 27 6" xfId="1853"/>
    <cellStyle name="Check Cell 28" xfId="1854"/>
    <cellStyle name="Check Cell 29" xfId="1855"/>
    <cellStyle name="Check Cell 3" xfId="1856"/>
    <cellStyle name="Check Cell 30" xfId="1857"/>
    <cellStyle name="Check Cell 31" xfId="1858"/>
    <cellStyle name="Check Cell 32" xfId="4081"/>
    <cellStyle name="Check Cell 32 2" xfId="5332"/>
    <cellStyle name="Check Cell 32 3" xfId="5946"/>
    <cellStyle name="Check Cell 33" xfId="3945"/>
    <cellStyle name="Check Cell 33 2" xfId="5274"/>
    <cellStyle name="Check Cell 33 3" xfId="5888"/>
    <cellStyle name="Check Cell 34" xfId="4405"/>
    <cellStyle name="Check Cell 34 2" xfId="5488"/>
    <cellStyle name="Check Cell 34 3" xfId="6100"/>
    <cellStyle name="Check Cell 35" xfId="4076"/>
    <cellStyle name="Check Cell 35 2" xfId="5328"/>
    <cellStyle name="Check Cell 35 3" xfId="5942"/>
    <cellStyle name="Check Cell 36" xfId="4393"/>
    <cellStyle name="Check Cell 36 2" xfId="5477"/>
    <cellStyle name="Check Cell 36 3" xfId="6089"/>
    <cellStyle name="Check Cell 37" xfId="4146"/>
    <cellStyle name="Check Cell 37 2" xfId="5381"/>
    <cellStyle name="Check Cell 37 3" xfId="5995"/>
    <cellStyle name="Check Cell 38" xfId="3951"/>
    <cellStyle name="Check Cell 38 2" xfId="5280"/>
    <cellStyle name="Check Cell 38 3" xfId="5894"/>
    <cellStyle name="Check Cell 39" xfId="4583"/>
    <cellStyle name="Check Cell 39 2" xfId="5629"/>
    <cellStyle name="Check Cell 39 3" xfId="6239"/>
    <cellStyle name="Check Cell 4" xfId="1859"/>
    <cellStyle name="Check Cell 40" xfId="4378"/>
    <cellStyle name="Check Cell 40 2" xfId="5474"/>
    <cellStyle name="Check Cell 40 3" xfId="6086"/>
    <cellStyle name="Check Cell 41" xfId="4603"/>
    <cellStyle name="Check Cell 41 2" xfId="5641"/>
    <cellStyle name="Check Cell 41 3" xfId="6251"/>
    <cellStyle name="Check Cell 42" xfId="4444"/>
    <cellStyle name="Check Cell 42 2" xfId="5519"/>
    <cellStyle name="Check Cell 42 3" xfId="6131"/>
    <cellStyle name="Check Cell 43" xfId="4649"/>
    <cellStyle name="Check Cell 43 2" xfId="5675"/>
    <cellStyle name="Check Cell 43 3" xfId="6285"/>
    <cellStyle name="Check Cell 44" xfId="4505"/>
    <cellStyle name="Check Cell 44 2" xfId="5572"/>
    <cellStyle name="Check Cell 44 3" xfId="6184"/>
    <cellStyle name="Check Cell 45" xfId="4664"/>
    <cellStyle name="Check Cell 45 2" xfId="5685"/>
    <cellStyle name="Check Cell 45 3" xfId="6295"/>
    <cellStyle name="Check Cell 46" xfId="4561"/>
    <cellStyle name="Check Cell 47" xfId="5194"/>
    <cellStyle name="Check Cell 5" xfId="1860"/>
    <cellStyle name="Check Cell 6" xfId="1861"/>
    <cellStyle name="Check Cell 7" xfId="1862"/>
    <cellStyle name="Check Cell 8" xfId="1863"/>
    <cellStyle name="Check Cell 9" xfId="1864"/>
    <cellStyle name="Collegamento ipertestuale_SCHEDA_STABILIMENTO_2002_VUOTA" xfId="1865"/>
    <cellStyle name="Column Heading" xfId="1866"/>
    <cellStyle name="Column_Title" xfId="1867"/>
    <cellStyle name="CombinedVol_Data" xfId="1868"/>
    <cellStyle name="Comma  - Style1" xfId="1869"/>
    <cellStyle name="Comma  - Style2" xfId="1870"/>
    <cellStyle name="Comma  - Style3" xfId="1871"/>
    <cellStyle name="Comma  - Style4" xfId="1872"/>
    <cellStyle name="Comma  - Style5" xfId="1873"/>
    <cellStyle name="Comma  - Style6" xfId="1874"/>
    <cellStyle name="Comma  - Style7" xfId="1875"/>
    <cellStyle name="Comma  - Style8" xfId="1876"/>
    <cellStyle name="Comma [0]_FM PCB Master EBOM" xfId="1877"/>
    <cellStyle name="Comma [0]_FM PCB Master EBOM 2" xfId="1878"/>
    <cellStyle name="Comma [00]" xfId="1879"/>
    <cellStyle name="Comma [00] 2" xfId="1880"/>
    <cellStyle name="Comma [00] 2 2" xfId="1881"/>
    <cellStyle name="Comma [00] 3" xfId="1882"/>
    <cellStyle name="Comma [00] 3 2" xfId="1883"/>
    <cellStyle name="Comma [00] 4" xfId="1884"/>
    <cellStyle name="Comma [00] 4 2" xfId="1885"/>
    <cellStyle name="Comma [00] 4 2 2" xfId="1886"/>
    <cellStyle name="Comma [00] 4 3" xfId="1887"/>
    <cellStyle name="Comma [00] 4 3 2" xfId="1888"/>
    <cellStyle name="Comma [00] 5" xfId="1889"/>
    <cellStyle name="Comma [00] 5 2" xfId="1890"/>
    <cellStyle name="Comma [00]_U625 2nd Row 702K" xfId="1891"/>
    <cellStyle name="Comma [000.0]" xfId="1892"/>
    <cellStyle name="Comma 2" xfId="1893"/>
    <cellStyle name="Comma[2]" xfId="1894"/>
    <cellStyle name="Comma0" xfId="1895"/>
    <cellStyle name="Copied" xfId="1896"/>
    <cellStyle name="COST1" xfId="1897"/>
    <cellStyle name="Currency $" xfId="1898"/>
    <cellStyle name="Currency $ 2" xfId="1899"/>
    <cellStyle name="Currency $ 2 2" xfId="1900"/>
    <cellStyle name="Currency $ 2 2 2" xfId="1901"/>
    <cellStyle name="Currency $ 2 2 2 2" xfId="1902"/>
    <cellStyle name="Currency $ 2 2 3" xfId="1903"/>
    <cellStyle name="Currency $ 2 3" xfId="1904"/>
    <cellStyle name="Currency $ 2 3 2" xfId="1905"/>
    <cellStyle name="Currency $ 2 4" xfId="1906"/>
    <cellStyle name="Currency $_Def" xfId="1907"/>
    <cellStyle name="Currency [00]" xfId="1908"/>
    <cellStyle name="Currency [00] 2" xfId="1909"/>
    <cellStyle name="Currency [00] 2 2" xfId="1910"/>
    <cellStyle name="Currency [00] 2 2 2" xfId="1911"/>
    <cellStyle name="Currency [00] 2 2 2 2" xfId="1912"/>
    <cellStyle name="Currency [00] 2 2 3" xfId="1913"/>
    <cellStyle name="Currency [00] 2 3" xfId="1914"/>
    <cellStyle name="Currency [00] 2 3 2" xfId="1915"/>
    <cellStyle name="Currency [00] 2 4" xfId="1916"/>
    <cellStyle name="Currency [00] 3" xfId="1917"/>
    <cellStyle name="Currency 10" xfId="1918"/>
    <cellStyle name="Currency 10 2" xfId="1919"/>
    <cellStyle name="Currency 11" xfId="1920"/>
    <cellStyle name="Currency 11 2" xfId="1921"/>
    <cellStyle name="Currency 12" xfId="1922"/>
    <cellStyle name="Currency 12 2" xfId="1923"/>
    <cellStyle name="Currency 13" xfId="1924"/>
    <cellStyle name="Currency 13 2" xfId="1925"/>
    <cellStyle name="Currency 14" xfId="1926"/>
    <cellStyle name="Currency 14 2" xfId="1927"/>
    <cellStyle name="Currency 15" xfId="1928"/>
    <cellStyle name="Currency 15 2" xfId="1929"/>
    <cellStyle name="Currency 16" xfId="1930"/>
    <cellStyle name="Currency 16 2" xfId="1931"/>
    <cellStyle name="Currency 17" xfId="1932"/>
    <cellStyle name="Currency 17 2" xfId="1933"/>
    <cellStyle name="Currency 18" xfId="1934"/>
    <cellStyle name="Currency 18 2" xfId="1935"/>
    <cellStyle name="Currency 19" xfId="1936"/>
    <cellStyle name="Currency 19 2" xfId="1937"/>
    <cellStyle name="Currency 2" xfId="1938"/>
    <cellStyle name="Currency 2 2" xfId="1939"/>
    <cellStyle name="Currency 20" xfId="1940"/>
    <cellStyle name="Currency 20 2" xfId="1941"/>
    <cellStyle name="Currency 21" xfId="1942"/>
    <cellStyle name="Currency 21 2" xfId="1943"/>
    <cellStyle name="Currency 22" xfId="1944"/>
    <cellStyle name="Currency 22 2" xfId="1945"/>
    <cellStyle name="Currency 23" xfId="1946"/>
    <cellStyle name="Currency 23 2" xfId="1947"/>
    <cellStyle name="Currency 24" xfId="1948"/>
    <cellStyle name="Currency 24 2" xfId="1949"/>
    <cellStyle name="Currency 25" xfId="1950"/>
    <cellStyle name="Currency 25 2" xfId="1951"/>
    <cellStyle name="Currency 26" xfId="1952"/>
    <cellStyle name="Currency 26 2" xfId="1953"/>
    <cellStyle name="Currency 27" xfId="1954"/>
    <cellStyle name="Currency 27 2" xfId="1955"/>
    <cellStyle name="Currency 28" xfId="1956"/>
    <cellStyle name="Currency 28 2" xfId="1957"/>
    <cellStyle name="Currency 29" xfId="1958"/>
    <cellStyle name="Currency 29 2" xfId="1959"/>
    <cellStyle name="Currency 3" xfId="1960"/>
    <cellStyle name="Currency 3 2" xfId="1961"/>
    <cellStyle name="Currency 30" xfId="1962"/>
    <cellStyle name="Currency 30 2" xfId="1963"/>
    <cellStyle name="Currency 31" xfId="1964"/>
    <cellStyle name="Currency 31 2" xfId="1965"/>
    <cellStyle name="Currency 32" xfId="1966"/>
    <cellStyle name="Currency 32 2" xfId="1967"/>
    <cellStyle name="Currency 33" xfId="1968"/>
    <cellStyle name="Currency 33 2" xfId="1969"/>
    <cellStyle name="Currency 34" xfId="1970"/>
    <cellStyle name="Currency 34 2" xfId="1971"/>
    <cellStyle name="Currency 35" xfId="1972"/>
    <cellStyle name="Currency 35 2" xfId="1973"/>
    <cellStyle name="Currency 36" xfId="1974"/>
    <cellStyle name="Currency 36 2" xfId="1975"/>
    <cellStyle name="Currency 37" xfId="1976"/>
    <cellStyle name="Currency 37 2" xfId="1977"/>
    <cellStyle name="Currency 38" xfId="1978"/>
    <cellStyle name="Currency 38 2" xfId="1979"/>
    <cellStyle name="Currency 39" xfId="1980"/>
    <cellStyle name="Currency 39 2" xfId="1981"/>
    <cellStyle name="Currency 4" xfId="1982"/>
    <cellStyle name="Currency 4 2" xfId="1983"/>
    <cellStyle name="Currency 40" xfId="1984"/>
    <cellStyle name="Currency 40 2" xfId="1985"/>
    <cellStyle name="Currency 41" xfId="1986"/>
    <cellStyle name="Currency 41 2" xfId="1987"/>
    <cellStyle name="Currency 42" xfId="1988"/>
    <cellStyle name="Currency 42 2" xfId="1989"/>
    <cellStyle name="Currency 43" xfId="1990"/>
    <cellStyle name="Currency 43 2" xfId="1991"/>
    <cellStyle name="Currency 44" xfId="1992"/>
    <cellStyle name="Currency 44 2" xfId="1993"/>
    <cellStyle name="Currency 45" xfId="1994"/>
    <cellStyle name="Currency 45 2" xfId="1995"/>
    <cellStyle name="Currency 46" xfId="1996"/>
    <cellStyle name="Currency 46 2" xfId="1997"/>
    <cellStyle name="Currency 47" xfId="1998"/>
    <cellStyle name="Currency 47 2" xfId="1999"/>
    <cellStyle name="Currency 48" xfId="2000"/>
    <cellStyle name="Currency 48 2" xfId="2001"/>
    <cellStyle name="Currency 49" xfId="2002"/>
    <cellStyle name="Currency 49 2" xfId="2003"/>
    <cellStyle name="Currency 5" xfId="2004"/>
    <cellStyle name="Currency 5 2" xfId="2005"/>
    <cellStyle name="Currency 50" xfId="2006"/>
    <cellStyle name="Currency 50 2" xfId="2007"/>
    <cellStyle name="Currency 51" xfId="2008"/>
    <cellStyle name="Currency 51 2" xfId="2009"/>
    <cellStyle name="Currency 52" xfId="2010"/>
    <cellStyle name="Currency 52 2" xfId="2011"/>
    <cellStyle name="Currency 53" xfId="2012"/>
    <cellStyle name="Currency 53 2" xfId="2013"/>
    <cellStyle name="Currency 54" xfId="2014"/>
    <cellStyle name="Currency 54 2" xfId="2015"/>
    <cellStyle name="Currency 55" xfId="2016"/>
    <cellStyle name="Currency 55 2" xfId="2017"/>
    <cellStyle name="Currency 56" xfId="2018"/>
    <cellStyle name="Currency 56 2" xfId="2019"/>
    <cellStyle name="Currency 57" xfId="2020"/>
    <cellStyle name="Currency 57 2" xfId="2021"/>
    <cellStyle name="Currency 58" xfId="2022"/>
    <cellStyle name="Currency 58 2" xfId="2023"/>
    <cellStyle name="Currency 59" xfId="2024"/>
    <cellStyle name="Currency 59 2" xfId="2025"/>
    <cellStyle name="Currency 6" xfId="2026"/>
    <cellStyle name="Currency 6 2" xfId="2027"/>
    <cellStyle name="Currency 60" xfId="2028"/>
    <cellStyle name="Currency 60 2" xfId="2029"/>
    <cellStyle name="Currency 61" xfId="2030"/>
    <cellStyle name="Currency 61 2" xfId="2031"/>
    <cellStyle name="Currency 62" xfId="2032"/>
    <cellStyle name="Currency 62 2" xfId="2033"/>
    <cellStyle name="Currency 63" xfId="2034"/>
    <cellStyle name="Currency 63 2" xfId="2035"/>
    <cellStyle name="Currency 64" xfId="2036"/>
    <cellStyle name="Currency 64 2" xfId="2037"/>
    <cellStyle name="Currency 65" xfId="2038"/>
    <cellStyle name="Currency 65 2" xfId="2039"/>
    <cellStyle name="Currency 66" xfId="2040"/>
    <cellStyle name="Currency 66 2" xfId="2041"/>
    <cellStyle name="Currency 67" xfId="2042"/>
    <cellStyle name="Currency 67 2" xfId="2043"/>
    <cellStyle name="Currency 68" xfId="2044"/>
    <cellStyle name="Currency 68 2" xfId="2045"/>
    <cellStyle name="Currency 69" xfId="2046"/>
    <cellStyle name="Currency 69 2" xfId="2047"/>
    <cellStyle name="Currency 7" xfId="2048"/>
    <cellStyle name="Currency 7 2" xfId="2049"/>
    <cellStyle name="Currency 70" xfId="2050"/>
    <cellStyle name="Currency 70 2" xfId="2051"/>
    <cellStyle name="Currency 71" xfId="2052"/>
    <cellStyle name="Currency 71 2" xfId="2053"/>
    <cellStyle name="Currency 72" xfId="2054"/>
    <cellStyle name="Currency 72 2" xfId="2055"/>
    <cellStyle name="Currency 73" xfId="2056"/>
    <cellStyle name="Currency 73 2" xfId="2057"/>
    <cellStyle name="Currency 74" xfId="2058"/>
    <cellStyle name="Currency 74 2" xfId="2059"/>
    <cellStyle name="Currency 75" xfId="2060"/>
    <cellStyle name="Currency 75 2" xfId="2061"/>
    <cellStyle name="Currency 76" xfId="2062"/>
    <cellStyle name="Currency 76 2" xfId="2063"/>
    <cellStyle name="Currency 77" xfId="2064"/>
    <cellStyle name="Currency 77 2" xfId="2065"/>
    <cellStyle name="Currency 78" xfId="2066"/>
    <cellStyle name="Currency 78 2" xfId="2067"/>
    <cellStyle name="Currency 8" xfId="2068"/>
    <cellStyle name="Currency 8 2" xfId="2069"/>
    <cellStyle name="Currency 9" xfId="2070"/>
    <cellStyle name="Currency 9 2" xfId="2071"/>
    <cellStyle name="Currency[2]" xfId="2072"/>
    <cellStyle name="Currency0" xfId="2073"/>
    <cellStyle name="Currency0 2" xfId="2074"/>
    <cellStyle name="Currency1" xfId="4093"/>
    <cellStyle name="custom" xfId="2075"/>
    <cellStyle name="custom 2" xfId="2076"/>
    <cellStyle name="custom 2 2" xfId="2077"/>
    <cellStyle name="custom 3" xfId="2078"/>
    <cellStyle name="custom 3 2" xfId="2079"/>
    <cellStyle name="custom 4" xfId="2080"/>
    <cellStyle name="custom 4 2" xfId="2081"/>
    <cellStyle name="custom 4 2 2" xfId="2082"/>
    <cellStyle name="custom 4 3" xfId="2083"/>
    <cellStyle name="custom 4 3 2" xfId="2084"/>
    <cellStyle name="custom 5" xfId="2085"/>
    <cellStyle name="custom 5 2" xfId="2086"/>
    <cellStyle name="custom_U625 2nd Row 702K" xfId="2087"/>
    <cellStyle name="Date" xfId="2088"/>
    <cellStyle name="Date - Style1" xfId="2089"/>
    <cellStyle name="Date 2" xfId="2090"/>
    <cellStyle name="Date 2 2" xfId="2091"/>
    <cellStyle name="Date 2 2 2" xfId="2092"/>
    <cellStyle name="Date 2 2 2 2" xfId="2093"/>
    <cellStyle name="Date 2 2 3" xfId="2094"/>
    <cellStyle name="Date 2 3" xfId="2095"/>
    <cellStyle name="Date 2 3 2" xfId="2096"/>
    <cellStyle name="Date 2 4" xfId="2097"/>
    <cellStyle name="Date 3" xfId="2098"/>
    <cellStyle name="Date 4" xfId="2099"/>
    <cellStyle name="Date 5" xfId="2100"/>
    <cellStyle name="Date 6" xfId="2101"/>
    <cellStyle name="Date 7" xfId="2102"/>
    <cellStyle name="Date Short" xfId="2103"/>
    <cellStyle name="Date_05 EN Manpower  testing costs 10-31-02" xfId="2104"/>
    <cellStyle name="Dezimal [0]_!!!GO" xfId="2105"/>
    <cellStyle name="Dezimal_!!!GO" xfId="2106"/>
    <cellStyle name="Dollars" xfId="2107"/>
    <cellStyle name="Edited_Data" xfId="2108"/>
    <cellStyle name="Eingabe" xfId="2109"/>
    <cellStyle name="Einheiten" xfId="2110"/>
    <cellStyle name="Einheiten 2" xfId="2111"/>
    <cellStyle name="Einheiten 2 2" xfId="5056"/>
    <cellStyle name="Einheiten 2 3" xfId="5032"/>
    <cellStyle name="Einheiten 3" xfId="2112"/>
    <cellStyle name="Einheiten 3 2" xfId="5057"/>
    <cellStyle name="Einheiten 3 3" xfId="5031"/>
    <cellStyle name="Einheiten 4" xfId="2113"/>
    <cellStyle name="Einheiten 4 2" xfId="5058"/>
    <cellStyle name="Einheiten 4 3" xfId="5030"/>
    <cellStyle name="Einheiten 5" xfId="2114"/>
    <cellStyle name="Einheiten 5 2" xfId="5059"/>
    <cellStyle name="Einheiten 5 3" xfId="5029"/>
    <cellStyle name="Einheiten 6" xfId="2115"/>
    <cellStyle name="Einheiten 6 2" xfId="5060"/>
    <cellStyle name="Einheiten 6 3" xfId="5028"/>
    <cellStyle name="Einheiten 7" xfId="2116"/>
    <cellStyle name="Einheiten 7 2" xfId="5061"/>
    <cellStyle name="Einheiten 7 3" xfId="5027"/>
    <cellStyle name="Encabezado 4" xfId="2117"/>
    <cellStyle name="Énfasis1" xfId="2118"/>
    <cellStyle name="Énfasis2" xfId="2119"/>
    <cellStyle name="Énfasis3" xfId="2120"/>
    <cellStyle name="Énfasis4" xfId="2121"/>
    <cellStyle name="Énfasis5" xfId="2122"/>
    <cellStyle name="Énfasis6" xfId="2123"/>
    <cellStyle name="Enter Currency (0)" xfId="2124"/>
    <cellStyle name="Enter Currency (0) 2" xfId="2125"/>
    <cellStyle name="Enter Currency (0) 2 2" xfId="2126"/>
    <cellStyle name="Enter Currency (0) 3" xfId="2127"/>
    <cellStyle name="Enter Currency (0) 3 2" xfId="2128"/>
    <cellStyle name="Enter Currency (0) 4" xfId="2129"/>
    <cellStyle name="Enter Currency (0) 4 2" xfId="2130"/>
    <cellStyle name="Enter Currency (0) 4 2 2" xfId="2131"/>
    <cellStyle name="Enter Currency (0) 4 3" xfId="2132"/>
    <cellStyle name="Enter Currency (0) 4 3 2" xfId="2133"/>
    <cellStyle name="Enter Currency (0) 5" xfId="2134"/>
    <cellStyle name="Enter Currency (0) 5 2" xfId="2135"/>
    <cellStyle name="Enter Currency (0)_U625 2nd Row 702K" xfId="2136"/>
    <cellStyle name="Enter Currency (2)" xfId="2137"/>
    <cellStyle name="Enter Currency (2) 2" xfId="2138"/>
    <cellStyle name="Enter Currency (2) 2 2" xfId="2139"/>
    <cellStyle name="Enter Currency (2) 2 2 2" xfId="2140"/>
    <cellStyle name="Enter Currency (2) 2 2 2 2" xfId="2141"/>
    <cellStyle name="Enter Currency (2) 2 2 3" xfId="2142"/>
    <cellStyle name="Enter Currency (2) 2 3" xfId="2143"/>
    <cellStyle name="Enter Currency (2) 2 3 2" xfId="2144"/>
    <cellStyle name="Enter Currency (2) 2 4" xfId="2145"/>
    <cellStyle name="Enter Currency (2) 3" xfId="2146"/>
    <cellStyle name="Enter Currency (2)_Def" xfId="2147"/>
    <cellStyle name="Enter Units (0)" xfId="2148"/>
    <cellStyle name="Enter Units (0) 2" xfId="2149"/>
    <cellStyle name="Enter Units (0) 2 2" xfId="2150"/>
    <cellStyle name="Enter Units (0) 3" xfId="2151"/>
    <cellStyle name="Enter Units (0) 3 2" xfId="2152"/>
    <cellStyle name="Enter Units (0) 4" xfId="2153"/>
    <cellStyle name="Enter Units (0) 4 2" xfId="2154"/>
    <cellStyle name="Enter Units (0) 4 2 2" xfId="2155"/>
    <cellStyle name="Enter Units (0) 4 3" xfId="2156"/>
    <cellStyle name="Enter Units (0) 4 3 2" xfId="2157"/>
    <cellStyle name="Enter Units (0) 5" xfId="2158"/>
    <cellStyle name="Enter Units (0) 5 2" xfId="2159"/>
    <cellStyle name="Enter Units (0)_U625 2nd Row 702K" xfId="2160"/>
    <cellStyle name="Enter Units (1)" xfId="2161"/>
    <cellStyle name="Enter Units (1) 2" xfId="2162"/>
    <cellStyle name="Enter Units (1) 2 2" xfId="2163"/>
    <cellStyle name="Enter Units (1) 2 2 2" xfId="2164"/>
    <cellStyle name="Enter Units (1) 2 2 2 2" xfId="2165"/>
    <cellStyle name="Enter Units (1) 2 2 3" xfId="2166"/>
    <cellStyle name="Enter Units (1) 2 3" xfId="2167"/>
    <cellStyle name="Enter Units (1) 2 3 2" xfId="2168"/>
    <cellStyle name="Enter Units (1) 2 4" xfId="2169"/>
    <cellStyle name="Enter Units (1) 3" xfId="2170"/>
    <cellStyle name="Enter Units (1)_Def" xfId="2171"/>
    <cellStyle name="Enter Units (2)" xfId="2172"/>
    <cellStyle name="Enter Units (2) 2" xfId="2173"/>
    <cellStyle name="Enter Units (2) 2 2" xfId="2174"/>
    <cellStyle name="Enter Units (2) 2 2 2" xfId="2175"/>
    <cellStyle name="Enter Units (2) 2 2 2 2" xfId="2176"/>
    <cellStyle name="Enter Units (2) 2 2 3" xfId="2177"/>
    <cellStyle name="Enter Units (2) 2 3" xfId="2178"/>
    <cellStyle name="Enter Units (2) 2 3 2" xfId="2179"/>
    <cellStyle name="Enter Units (2) 2 4" xfId="2180"/>
    <cellStyle name="Enter Units (2) 3" xfId="2181"/>
    <cellStyle name="Enter Units (2)_Def" xfId="2182"/>
    <cellStyle name="Entered" xfId="2183"/>
    <cellStyle name="Entrada" xfId="2184"/>
    <cellStyle name="ep" xfId="2185"/>
    <cellStyle name="ep 2" xfId="2186"/>
    <cellStyle name="Ergebnis" xfId="2187"/>
    <cellStyle name="Erklärender Text" xfId="2188"/>
    <cellStyle name="Estimated_Data" xfId="2189"/>
    <cellStyle name="Euro" xfId="2190"/>
    <cellStyle name="Explanatory Text" xfId="2191"/>
    <cellStyle name="Explanatory Text 10" xfId="2192"/>
    <cellStyle name="Explanatory Text 11" xfId="2193"/>
    <cellStyle name="Explanatory Text 12" xfId="2194"/>
    <cellStyle name="Explanatory Text 13" xfId="2195"/>
    <cellStyle name="Explanatory Text 14" xfId="2196"/>
    <cellStyle name="Explanatory Text 15" xfId="2197"/>
    <cellStyle name="Explanatory Text 16" xfId="2198"/>
    <cellStyle name="Explanatory Text 17" xfId="2199"/>
    <cellStyle name="Explanatory Text 18" xfId="2200"/>
    <cellStyle name="Explanatory Text 19" xfId="2201"/>
    <cellStyle name="Explanatory Text 2" xfId="2202"/>
    <cellStyle name="Explanatory Text 2 2" xfId="2203"/>
    <cellStyle name="Explanatory Text 2 3" xfId="2204"/>
    <cellStyle name="Explanatory Text 20" xfId="2205"/>
    <cellStyle name="Explanatory Text 21" xfId="2206"/>
    <cellStyle name="Explanatory Text 22" xfId="2207"/>
    <cellStyle name="Explanatory Text 23" xfId="2208"/>
    <cellStyle name="Explanatory Text 24" xfId="2209"/>
    <cellStyle name="Explanatory Text 25" xfId="2210"/>
    <cellStyle name="Explanatory Text 26" xfId="2211"/>
    <cellStyle name="Explanatory Text 27" xfId="2212"/>
    <cellStyle name="Explanatory Text 27 2" xfId="2213"/>
    <cellStyle name="Explanatory Text 27 3" xfId="2214"/>
    <cellStyle name="Explanatory Text 27 4" xfId="2215"/>
    <cellStyle name="Explanatory Text 27 5" xfId="2216"/>
    <cellStyle name="Explanatory Text 27 6" xfId="2217"/>
    <cellStyle name="Explanatory Text 28" xfId="2218"/>
    <cellStyle name="Explanatory Text 29" xfId="2219"/>
    <cellStyle name="Explanatory Text 3" xfId="2220"/>
    <cellStyle name="Explanatory Text 30" xfId="2221"/>
    <cellStyle name="Explanatory Text 31" xfId="2222"/>
    <cellStyle name="Explanatory Text 32" xfId="4104"/>
    <cellStyle name="Explanatory Text 32 2" xfId="5347"/>
    <cellStyle name="Explanatory Text 32 3" xfId="5961"/>
    <cellStyle name="Explanatory Text 33" xfId="3915"/>
    <cellStyle name="Explanatory Text 33 2" xfId="5258"/>
    <cellStyle name="Explanatory Text 33 3" xfId="5872"/>
    <cellStyle name="Explanatory Text 34" xfId="4375"/>
    <cellStyle name="Explanatory Text 34 2" xfId="5472"/>
    <cellStyle name="Explanatory Text 34 3" xfId="6084"/>
    <cellStyle name="Explanatory Text 35" xfId="3940"/>
    <cellStyle name="Explanatory Text 35 2" xfId="5271"/>
    <cellStyle name="Explanatory Text 35 3" xfId="5885"/>
    <cellStyle name="Explanatory Text 36" xfId="3916"/>
    <cellStyle name="Explanatory Text 36 2" xfId="5259"/>
    <cellStyle name="Explanatory Text 36 3" xfId="5873"/>
    <cellStyle name="Explanatory Text 37" xfId="4090"/>
    <cellStyle name="Explanatory Text 37 2" xfId="5336"/>
    <cellStyle name="Explanatory Text 37 3" xfId="5950"/>
    <cellStyle name="Explanatory Text 38" xfId="4121"/>
    <cellStyle name="Explanatory Text 38 2" xfId="5361"/>
    <cellStyle name="Explanatory Text 38 3" xfId="5975"/>
    <cellStyle name="Explanatory Text 39" xfId="4211"/>
    <cellStyle name="Explanatory Text 39 2" xfId="5435"/>
    <cellStyle name="Explanatory Text 39 3" xfId="6048"/>
    <cellStyle name="Explanatory Text 4" xfId="2223"/>
    <cellStyle name="Explanatory Text 40" xfId="4079"/>
    <cellStyle name="Explanatory Text 40 2" xfId="5330"/>
    <cellStyle name="Explanatory Text 40 3" xfId="5944"/>
    <cellStyle name="Explanatory Text 41" xfId="4210"/>
    <cellStyle name="Explanatory Text 41 2" xfId="5434"/>
    <cellStyle name="Explanatory Text 41 3" xfId="6047"/>
    <cellStyle name="Explanatory Text 42" xfId="3906"/>
    <cellStyle name="Explanatory Text 42 2" xfId="5249"/>
    <cellStyle name="Explanatory Text 42 3" xfId="5863"/>
    <cellStyle name="Explanatory Text 43" xfId="4579"/>
    <cellStyle name="Explanatory Text 43 2" xfId="5626"/>
    <cellStyle name="Explanatory Text 43 3" xfId="6236"/>
    <cellStyle name="Explanatory Text 44" xfId="4409"/>
    <cellStyle name="Explanatory Text 44 2" xfId="5492"/>
    <cellStyle name="Explanatory Text 44 3" xfId="6104"/>
    <cellStyle name="Explanatory Text 45" xfId="4602"/>
    <cellStyle name="Explanatory Text 45 2" xfId="5640"/>
    <cellStyle name="Explanatory Text 45 3" xfId="6250"/>
    <cellStyle name="Explanatory Text 46" xfId="4462"/>
    <cellStyle name="Explanatory Text 47" xfId="5193"/>
    <cellStyle name="Explanatory Text 5" xfId="2224"/>
    <cellStyle name="Explanatory Text 6" xfId="2225"/>
    <cellStyle name="Explanatory Text 7" xfId="2226"/>
    <cellStyle name="Explanatory Text 8" xfId="2227"/>
    <cellStyle name="Explanatory Text 9" xfId="2228"/>
    <cellStyle name="Fill" xfId="2229"/>
    <cellStyle name="Fixed" xfId="2230"/>
    <cellStyle name="Forecast_Data" xfId="2231"/>
    <cellStyle name="ƒp[ƒZƒ“ƒg_!!!GO" xfId="2232"/>
    <cellStyle name="Ganzzahl" xfId="2233"/>
    <cellStyle name="Ganzzahl 2" xfId="2234"/>
    <cellStyle name="Ganzzahl 2 2" xfId="2235"/>
    <cellStyle name="Ganzzahl 2 2 2" xfId="2236"/>
    <cellStyle name="Ganzzahl 2 2 3" xfId="2237"/>
    <cellStyle name="Ganzzahl 2 2 4" xfId="2238"/>
    <cellStyle name="Ganzzahl 2 2 5" xfId="2239"/>
    <cellStyle name="Ganzzahl 2 2 6" xfId="2240"/>
    <cellStyle name="Ganzzahl 2 3" xfId="2241"/>
    <cellStyle name="Ganzzahl 2 4" xfId="2242"/>
    <cellStyle name="Ganzzahl 2 5" xfId="2243"/>
    <cellStyle name="Ganzzahl 2 6" xfId="2244"/>
    <cellStyle name="Ganzzahl 3" xfId="2245"/>
    <cellStyle name="Ganzzahl 4" xfId="2246"/>
    <cellStyle name="Ganzzahl 5" xfId="2247"/>
    <cellStyle name="Ganzzahl 6" xfId="2248"/>
    <cellStyle name="Ganzzahl 7" xfId="2249"/>
    <cellStyle name="General" xfId="2250"/>
    <cellStyle name="Good" xfId="2251"/>
    <cellStyle name="Good 10" xfId="2252"/>
    <cellStyle name="Good 11" xfId="2253"/>
    <cellStyle name="Good 12" xfId="2254"/>
    <cellStyle name="Good 13" xfId="2255"/>
    <cellStyle name="Good 14" xfId="2256"/>
    <cellStyle name="Good 15" xfId="2257"/>
    <cellStyle name="Good 16" xfId="2258"/>
    <cellStyle name="Good 17" xfId="2259"/>
    <cellStyle name="Good 18" xfId="2260"/>
    <cellStyle name="Good 19" xfId="2261"/>
    <cellStyle name="Good 2" xfId="2262"/>
    <cellStyle name="Good 2 2" xfId="2263"/>
    <cellStyle name="Good 2 3" xfId="2264"/>
    <cellStyle name="Good 2_U625 2nd Row 702K" xfId="2265"/>
    <cellStyle name="Good 20" xfId="2266"/>
    <cellStyle name="Good 21" xfId="2267"/>
    <cellStyle name="Good 22" xfId="2268"/>
    <cellStyle name="Good 23" xfId="2269"/>
    <cellStyle name="Good 24" xfId="2270"/>
    <cellStyle name="Good 25" xfId="2271"/>
    <cellStyle name="Good 26" xfId="2272"/>
    <cellStyle name="Good 27" xfId="2273"/>
    <cellStyle name="Good 27 2" xfId="2274"/>
    <cellStyle name="Good 27 3" xfId="2275"/>
    <cellStyle name="Good 27 4" xfId="2276"/>
    <cellStyle name="Good 27 5" xfId="2277"/>
    <cellStyle name="Good 27 6" xfId="2278"/>
    <cellStyle name="Good 28" xfId="2279"/>
    <cellStyle name="Good 29" xfId="2280"/>
    <cellStyle name="Good 3" xfId="2281"/>
    <cellStyle name="Good 30" xfId="2282"/>
    <cellStyle name="Good 31" xfId="2283"/>
    <cellStyle name="Good 32" xfId="4106"/>
    <cellStyle name="Good 32 2" xfId="5349"/>
    <cellStyle name="Good 32 3" xfId="5963"/>
    <cellStyle name="Good 33" xfId="3913"/>
    <cellStyle name="Good 33 2" xfId="5256"/>
    <cellStyle name="Good 33 3" xfId="5870"/>
    <cellStyle name="Good 34" xfId="4373"/>
    <cellStyle name="Good 34 2" xfId="5470"/>
    <cellStyle name="Good 34 3" xfId="6082"/>
    <cellStyle name="Good 35" xfId="3937"/>
    <cellStyle name="Good 35 2" xfId="5269"/>
    <cellStyle name="Good 35 3" xfId="5883"/>
    <cellStyle name="Good 36" xfId="3918"/>
    <cellStyle name="Good 36 2" xfId="5260"/>
    <cellStyle name="Good 36 3" xfId="5874"/>
    <cellStyle name="Good 37" xfId="4082"/>
    <cellStyle name="Good 37 2" xfId="5333"/>
    <cellStyle name="Good 37 3" xfId="5947"/>
    <cellStyle name="Good 38" xfId="4125"/>
    <cellStyle name="Good 38 2" xfId="5365"/>
    <cellStyle name="Good 38 3" xfId="5979"/>
    <cellStyle name="Good 39" xfId="4206"/>
    <cellStyle name="Good 39 2" xfId="5432"/>
    <cellStyle name="Good 39 3" xfId="6046"/>
    <cellStyle name="Good 4" xfId="2284"/>
    <cellStyle name="Good 40" xfId="4089"/>
    <cellStyle name="Good 40 2" xfId="5335"/>
    <cellStyle name="Good 40 3" xfId="5949"/>
    <cellStyle name="Good 41" xfId="4199"/>
    <cellStyle name="Good 41 2" xfId="5430"/>
    <cellStyle name="Good 41 3" xfId="6044"/>
    <cellStyle name="Good 42" xfId="3914"/>
    <cellStyle name="Good 42 2" xfId="5257"/>
    <cellStyle name="Good 42 3" xfId="5871"/>
    <cellStyle name="Good 43" xfId="4578"/>
    <cellStyle name="Good 43 2" xfId="5625"/>
    <cellStyle name="Good 43 3" xfId="6235"/>
    <cellStyle name="Good 44" xfId="4403"/>
    <cellStyle name="Good 44 2" xfId="5486"/>
    <cellStyle name="Good 44 3" xfId="6098"/>
    <cellStyle name="Good 45" xfId="4581"/>
    <cellStyle name="Good 45 2" xfId="5628"/>
    <cellStyle name="Good 45 3" xfId="6238"/>
    <cellStyle name="Good 46" xfId="4448"/>
    <cellStyle name="Good 47" xfId="5187"/>
    <cellStyle name="Good 5" xfId="2285"/>
    <cellStyle name="Good 6" xfId="2286"/>
    <cellStyle name="Good 7" xfId="2287"/>
    <cellStyle name="Good 8" xfId="2288"/>
    <cellStyle name="Good 9" xfId="2289"/>
    <cellStyle name="Grey" xfId="2290"/>
    <cellStyle name="Grey 2" xfId="2291"/>
    <cellStyle name="Grey 2 2" xfId="2292"/>
    <cellStyle name="Grey 2 2 2" xfId="2293"/>
    <cellStyle name="Grey 2 2 2 2" xfId="2294"/>
    <cellStyle name="Grey 2 2 2 2 2" xfId="2295"/>
    <cellStyle name="Grey 2 2 2 3" xfId="2296"/>
    <cellStyle name="Grey 2 2 3" xfId="2297"/>
    <cellStyle name="Grey 2 2 3 2" xfId="2298"/>
    <cellStyle name="Grey 2 2 4" xfId="2299"/>
    <cellStyle name="Grey 2 3" xfId="2300"/>
    <cellStyle name="Grey 2 3 2" xfId="2301"/>
    <cellStyle name="Grey 2 3 2 2" xfId="2302"/>
    <cellStyle name="Grey 2 3 3" xfId="2303"/>
    <cellStyle name="Grey 2 4" xfId="2304"/>
    <cellStyle name="Grey 2 4 2" xfId="2305"/>
    <cellStyle name="Grey 2 5" xfId="2306"/>
    <cellStyle name="Grey 2 6" xfId="5062"/>
    <cellStyle name="Grey 2 7" xfId="5026"/>
    <cellStyle name="Grey 3" xfId="2307"/>
    <cellStyle name="Grey_Def" xfId="2308"/>
    <cellStyle name="Gut" xfId="2309"/>
    <cellStyle name="HEADER" xfId="2310"/>
    <cellStyle name="Header1" xfId="2311"/>
    <cellStyle name="Header2" xfId="2312"/>
    <cellStyle name="Heading 1" xfId="2313"/>
    <cellStyle name="Heading 1 10" xfId="2314"/>
    <cellStyle name="Heading 1 11" xfId="2315"/>
    <cellStyle name="Heading 1 12" xfId="2316"/>
    <cellStyle name="Heading 1 13" xfId="2317"/>
    <cellStyle name="Heading 1 14" xfId="2318"/>
    <cellStyle name="Heading 1 15" xfId="2319"/>
    <cellStyle name="Heading 1 16" xfId="2320"/>
    <cellStyle name="Heading 1 17" xfId="2321"/>
    <cellStyle name="Heading 1 18" xfId="2322"/>
    <cellStyle name="Heading 1 19" xfId="2323"/>
    <cellStyle name="Heading 1 2" xfId="2324"/>
    <cellStyle name="Heading 1 2 2" xfId="2325"/>
    <cellStyle name="Heading 1 2 3" xfId="2326"/>
    <cellStyle name="Heading 1 2_U625 2nd Row 702K" xfId="2327"/>
    <cellStyle name="Heading 1 20" xfId="2328"/>
    <cellStyle name="Heading 1 21" xfId="2329"/>
    <cellStyle name="Heading 1 22" xfId="2330"/>
    <cellStyle name="Heading 1 23" xfId="2331"/>
    <cellStyle name="Heading 1 24" xfId="2332"/>
    <cellStyle name="Heading 1 25" xfId="2333"/>
    <cellStyle name="Heading 1 26" xfId="2334"/>
    <cellStyle name="Heading 1 27" xfId="2335"/>
    <cellStyle name="Heading 1 27 2" xfId="2336"/>
    <cellStyle name="Heading 1 27 3" xfId="2337"/>
    <cellStyle name="Heading 1 27 4" xfId="2338"/>
    <cellStyle name="Heading 1 27 5" xfId="2339"/>
    <cellStyle name="Heading 1 27 6" xfId="2340"/>
    <cellStyle name="Heading 1 28" xfId="2341"/>
    <cellStyle name="Heading 1 29" xfId="2342"/>
    <cellStyle name="Heading 1 3" xfId="2343"/>
    <cellStyle name="Heading 1 30" xfId="2344"/>
    <cellStyle name="Heading 1 31" xfId="2345"/>
    <cellStyle name="Heading 1 32" xfId="4110"/>
    <cellStyle name="Heading 1 32 2" xfId="5351"/>
    <cellStyle name="Heading 1 32 3" xfId="5965"/>
    <cellStyle name="Heading 1 33" xfId="3910"/>
    <cellStyle name="Heading 1 33 2" xfId="5253"/>
    <cellStyle name="Heading 1 33 3" xfId="5867"/>
    <cellStyle name="Heading 1 34" xfId="4369"/>
    <cellStyle name="Heading 1 34 2" xfId="5466"/>
    <cellStyle name="Heading 1 34 3" xfId="6078"/>
    <cellStyle name="Heading 1 35" xfId="3925"/>
    <cellStyle name="Heading 1 35 2" xfId="5266"/>
    <cellStyle name="Heading 1 35 3" xfId="5880"/>
    <cellStyle name="Heading 1 36" xfId="3935"/>
    <cellStyle name="Heading 1 36 2" xfId="5267"/>
    <cellStyle name="Heading 1 36 3" xfId="5881"/>
    <cellStyle name="Heading 1 37" xfId="4075"/>
    <cellStyle name="Heading 1 37 2" xfId="5327"/>
    <cellStyle name="Heading 1 37 3" xfId="5941"/>
    <cellStyle name="Heading 1 38" xfId="4129"/>
    <cellStyle name="Heading 1 38 2" xfId="5369"/>
    <cellStyle name="Heading 1 38 3" xfId="5983"/>
    <cellStyle name="Heading 1 39" xfId="4196"/>
    <cellStyle name="Heading 1 39 2" xfId="5428"/>
    <cellStyle name="Heading 1 39 3" xfId="6042"/>
    <cellStyle name="Heading 1 4" xfId="2346"/>
    <cellStyle name="Heading 1 40" xfId="4117"/>
    <cellStyle name="Heading 1 40 2" xfId="5357"/>
    <cellStyle name="Heading 1 40 3" xfId="5971"/>
    <cellStyle name="Heading 1 41" xfId="4177"/>
    <cellStyle name="Heading 1 41 2" xfId="5410"/>
    <cellStyle name="Heading 1 41 3" xfId="6024"/>
    <cellStyle name="Heading 1 42" xfId="3955"/>
    <cellStyle name="Heading 1 42 2" xfId="5284"/>
    <cellStyle name="Heading 1 42 3" xfId="5898"/>
    <cellStyle name="Heading 1 43" xfId="4215"/>
    <cellStyle name="Heading 1 43 2" xfId="5439"/>
    <cellStyle name="Heading 1 43 3" xfId="6052"/>
    <cellStyle name="Heading 1 44" xfId="3903"/>
    <cellStyle name="Heading 1 44 2" xfId="5246"/>
    <cellStyle name="Heading 1 44 3" xfId="5860"/>
    <cellStyle name="Heading 1 45" xfId="4573"/>
    <cellStyle name="Heading 1 45 2" xfId="5621"/>
    <cellStyle name="Heading 1 45 3" xfId="6231"/>
    <cellStyle name="Heading 1 46" xfId="4432"/>
    <cellStyle name="Heading 1 47" xfId="5192"/>
    <cellStyle name="Heading 1 5" xfId="2347"/>
    <cellStyle name="Heading 1 6" xfId="2348"/>
    <cellStyle name="Heading 1 7" xfId="2349"/>
    <cellStyle name="Heading 1 8" xfId="2350"/>
    <cellStyle name="Heading 1 9" xfId="2351"/>
    <cellStyle name="Heading 2" xfId="2352"/>
    <cellStyle name="Heading 2 10" xfId="2353"/>
    <cellStyle name="Heading 2 11" xfId="2354"/>
    <cellStyle name="Heading 2 12" xfId="2355"/>
    <cellStyle name="Heading 2 13" xfId="2356"/>
    <cellStyle name="Heading 2 14" xfId="2357"/>
    <cellStyle name="Heading 2 15" xfId="2358"/>
    <cellStyle name="Heading 2 16" xfId="2359"/>
    <cellStyle name="Heading 2 17" xfId="2360"/>
    <cellStyle name="Heading 2 18" xfId="2361"/>
    <cellStyle name="Heading 2 19" xfId="2362"/>
    <cellStyle name="Heading 2 2" xfId="2363"/>
    <cellStyle name="Heading 2 2 2" xfId="2364"/>
    <cellStyle name="Heading 2 2 3" xfId="2365"/>
    <cellStyle name="Heading 2 2_U625 2nd Row 702K" xfId="2366"/>
    <cellStyle name="Heading 2 20" xfId="2367"/>
    <cellStyle name="Heading 2 21" xfId="2368"/>
    <cellStyle name="Heading 2 22" xfId="2369"/>
    <cellStyle name="Heading 2 23" xfId="2370"/>
    <cellStyle name="Heading 2 24" xfId="2371"/>
    <cellStyle name="Heading 2 25" xfId="2372"/>
    <cellStyle name="Heading 2 26" xfId="2373"/>
    <cellStyle name="Heading 2 27" xfId="2374"/>
    <cellStyle name="Heading 2 27 2" xfId="2375"/>
    <cellStyle name="Heading 2 27 3" xfId="2376"/>
    <cellStyle name="Heading 2 27 4" xfId="2377"/>
    <cellStyle name="Heading 2 27 5" xfId="2378"/>
    <cellStyle name="Heading 2 27 6" xfId="2379"/>
    <cellStyle name="Heading 2 28" xfId="2380"/>
    <cellStyle name="Heading 2 29" xfId="2381"/>
    <cellStyle name="Heading 2 3" xfId="2382"/>
    <cellStyle name="Heading 2 30" xfId="2383"/>
    <cellStyle name="Heading 2 31" xfId="2384"/>
    <cellStyle name="Heading 2 32" xfId="4111"/>
    <cellStyle name="Heading 2 32 2" xfId="5352"/>
    <cellStyle name="Heading 2 32 3" xfId="5966"/>
    <cellStyle name="Heading 2 33" xfId="3909"/>
    <cellStyle name="Heading 2 33 2" xfId="5252"/>
    <cellStyle name="Heading 2 33 3" xfId="5866"/>
    <cellStyle name="Heading 2 34" xfId="4368"/>
    <cellStyle name="Heading 2 34 2" xfId="5465"/>
    <cellStyle name="Heading 2 34 3" xfId="6077"/>
    <cellStyle name="Heading 2 35" xfId="3924"/>
    <cellStyle name="Heading 2 35 2" xfId="5265"/>
    <cellStyle name="Heading 2 35 3" xfId="5879"/>
    <cellStyle name="Heading 2 36" xfId="3936"/>
    <cellStyle name="Heading 2 36 2" xfId="5268"/>
    <cellStyle name="Heading 2 36 3" xfId="5882"/>
    <cellStyle name="Heading 2 37" xfId="4071"/>
    <cellStyle name="Heading 2 37 2" xfId="5325"/>
    <cellStyle name="Heading 2 37 3" xfId="5939"/>
    <cellStyle name="Heading 2 38" xfId="4130"/>
    <cellStyle name="Heading 2 38 2" xfId="5370"/>
    <cellStyle name="Heading 2 38 3" xfId="5984"/>
    <cellStyle name="Heading 2 39" xfId="4195"/>
    <cellStyle name="Heading 2 39 2" xfId="5427"/>
    <cellStyle name="Heading 2 39 3" xfId="6041"/>
    <cellStyle name="Heading 2 4" xfId="2385"/>
    <cellStyle name="Heading 2 40" xfId="4119"/>
    <cellStyle name="Heading 2 40 2" xfId="5359"/>
    <cellStyle name="Heading 2 40 3" xfId="5973"/>
    <cellStyle name="Heading 2 41" xfId="4176"/>
    <cellStyle name="Heading 2 41 2" xfId="5409"/>
    <cellStyle name="Heading 2 41 3" xfId="6023"/>
    <cellStyle name="Heading 2 42" xfId="3958"/>
    <cellStyle name="Heading 2 42 2" xfId="5287"/>
    <cellStyle name="Heading 2 42 3" xfId="5901"/>
    <cellStyle name="Heading 2 43" xfId="4214"/>
    <cellStyle name="Heading 2 43 2" xfId="5438"/>
    <cellStyle name="Heading 2 43 3" xfId="6051"/>
    <cellStyle name="Heading 2 44" xfId="3905"/>
    <cellStyle name="Heading 2 44 2" xfId="5248"/>
    <cellStyle name="Heading 2 44 3" xfId="5862"/>
    <cellStyle name="Heading 2 45" xfId="4240"/>
    <cellStyle name="Heading 2 45 2" xfId="5457"/>
    <cellStyle name="Heading 2 45 3" xfId="6069"/>
    <cellStyle name="Heading 2 46" xfId="4413"/>
    <cellStyle name="Heading 2 47" xfId="5191"/>
    <cellStyle name="Heading 2 5" xfId="2386"/>
    <cellStyle name="Heading 2 6" xfId="2387"/>
    <cellStyle name="Heading 2 7" xfId="2388"/>
    <cellStyle name="Heading 2 8" xfId="2389"/>
    <cellStyle name="Heading 2 9" xfId="2390"/>
    <cellStyle name="Heading 3" xfId="2391"/>
    <cellStyle name="Heading 3 10" xfId="2392"/>
    <cellStyle name="Heading 3 11" xfId="2393"/>
    <cellStyle name="Heading 3 12" xfId="2394"/>
    <cellStyle name="Heading 3 13" xfId="2395"/>
    <cellStyle name="Heading 3 14" xfId="2396"/>
    <cellStyle name="Heading 3 15" xfId="2397"/>
    <cellStyle name="Heading 3 16" xfId="2398"/>
    <cellStyle name="Heading 3 17" xfId="2399"/>
    <cellStyle name="Heading 3 18" xfId="2400"/>
    <cellStyle name="Heading 3 19" xfId="2401"/>
    <cellStyle name="Heading 3 2" xfId="2402"/>
    <cellStyle name="Heading 3 2 2" xfId="2403"/>
    <cellStyle name="Heading 3 2 3" xfId="2404"/>
    <cellStyle name="Heading 3 2_U625 2nd Row 702K" xfId="2405"/>
    <cellStyle name="Heading 3 20" xfId="2406"/>
    <cellStyle name="Heading 3 21" xfId="2407"/>
    <cellStyle name="Heading 3 22" xfId="2408"/>
    <cellStyle name="Heading 3 23" xfId="2409"/>
    <cellStyle name="Heading 3 24" xfId="2410"/>
    <cellStyle name="Heading 3 25" xfId="2411"/>
    <cellStyle name="Heading 3 26" xfId="2412"/>
    <cellStyle name="Heading 3 27" xfId="2413"/>
    <cellStyle name="Heading 3 27 2" xfId="2414"/>
    <cellStyle name="Heading 3 27 3" xfId="2415"/>
    <cellStyle name="Heading 3 27 4" xfId="2416"/>
    <cellStyle name="Heading 3 27 5" xfId="2417"/>
    <cellStyle name="Heading 3 27 6" xfId="2418"/>
    <cellStyle name="Heading 3 28" xfId="2419"/>
    <cellStyle name="Heading 3 29" xfId="2420"/>
    <cellStyle name="Heading 3 3" xfId="2421"/>
    <cellStyle name="Heading 3 30" xfId="2422"/>
    <cellStyle name="Heading 3 31" xfId="2423"/>
    <cellStyle name="Heading 3 32" xfId="4112"/>
    <cellStyle name="Heading 3 32 2" xfId="5353"/>
    <cellStyle name="Heading 3 32 3" xfId="5967"/>
    <cellStyle name="Heading 3 33" xfId="3908"/>
    <cellStyle name="Heading 3 33 2" xfId="5251"/>
    <cellStyle name="Heading 3 33 3" xfId="5865"/>
    <cellStyle name="Heading 3 34" xfId="4367"/>
    <cellStyle name="Heading 3 34 2" xfId="5464"/>
    <cellStyle name="Heading 3 34 3" xfId="6076"/>
    <cellStyle name="Heading 3 35" xfId="3923"/>
    <cellStyle name="Heading 3 35 2" xfId="5264"/>
    <cellStyle name="Heading 3 35 3" xfId="5878"/>
    <cellStyle name="Heading 3 36" xfId="3939"/>
    <cellStyle name="Heading 3 36 2" xfId="5270"/>
    <cellStyle name="Heading 3 36 3" xfId="5884"/>
    <cellStyle name="Heading 3 37" xfId="4070"/>
    <cellStyle name="Heading 3 37 2" xfId="5324"/>
    <cellStyle name="Heading 3 37 3" xfId="5938"/>
    <cellStyle name="Heading 3 38" xfId="4137"/>
    <cellStyle name="Heading 3 38 2" xfId="5377"/>
    <cellStyle name="Heading 3 38 3" xfId="5991"/>
    <cellStyle name="Heading 3 39" xfId="4194"/>
    <cellStyle name="Heading 3 39 2" xfId="5426"/>
    <cellStyle name="Heading 3 39 3" xfId="6040"/>
    <cellStyle name="Heading 3 4" xfId="2424"/>
    <cellStyle name="Heading 3 40" xfId="4120"/>
    <cellStyle name="Heading 3 40 2" xfId="5360"/>
    <cellStyle name="Heading 3 40 3" xfId="5974"/>
    <cellStyle name="Heading 3 41" xfId="4175"/>
    <cellStyle name="Heading 3 41 2" xfId="5408"/>
    <cellStyle name="Heading 3 41 3" xfId="6022"/>
    <cellStyle name="Heading 3 42" xfId="3959"/>
    <cellStyle name="Heading 3 42 2" xfId="5288"/>
    <cellStyle name="Heading 3 42 3" xfId="5902"/>
    <cellStyle name="Heading 3 43" xfId="4213"/>
    <cellStyle name="Heading 3 43 2" xfId="5437"/>
    <cellStyle name="Heading 3 43 3" xfId="6050"/>
    <cellStyle name="Heading 3 44" xfId="3912"/>
    <cellStyle name="Heading 3 44 2" xfId="5255"/>
    <cellStyle name="Heading 3 44 3" xfId="5869"/>
    <cellStyle name="Heading 3 45" xfId="4886"/>
    <cellStyle name="Heading 3 45 2" xfId="5821"/>
    <cellStyle name="Heading 3 45 3" xfId="6431"/>
    <cellStyle name="Heading 3 46" xfId="4411"/>
    <cellStyle name="Heading 3 47" xfId="5190"/>
    <cellStyle name="Heading 3 5" xfId="2425"/>
    <cellStyle name="Heading 3 6" xfId="2426"/>
    <cellStyle name="Heading 3 7" xfId="2427"/>
    <cellStyle name="Heading 3 8" xfId="2428"/>
    <cellStyle name="Heading 3 9" xfId="2429"/>
    <cellStyle name="Heading 4" xfId="2430"/>
    <cellStyle name="Heading 4 10" xfId="2431"/>
    <cellStyle name="Heading 4 11" xfId="2432"/>
    <cellStyle name="Heading 4 12" xfId="2433"/>
    <cellStyle name="Heading 4 13" xfId="2434"/>
    <cellStyle name="Heading 4 14" xfId="2435"/>
    <cellStyle name="Heading 4 15" xfId="2436"/>
    <cellStyle name="Heading 4 16" xfId="2437"/>
    <cellStyle name="Heading 4 17" xfId="2438"/>
    <cellStyle name="Heading 4 18" xfId="2439"/>
    <cellStyle name="Heading 4 19" xfId="2440"/>
    <cellStyle name="Heading 4 2" xfId="2441"/>
    <cellStyle name="Heading 4 2 2" xfId="2442"/>
    <cellStyle name="Heading 4 2 3" xfId="2443"/>
    <cellStyle name="Heading 4 2_U625 2nd Row 702K" xfId="2444"/>
    <cellStyle name="Heading 4 20" xfId="2445"/>
    <cellStyle name="Heading 4 21" xfId="2446"/>
    <cellStyle name="Heading 4 22" xfId="2447"/>
    <cellStyle name="Heading 4 23" xfId="2448"/>
    <cellStyle name="Heading 4 24" xfId="2449"/>
    <cellStyle name="Heading 4 25" xfId="2450"/>
    <cellStyle name="Heading 4 26" xfId="2451"/>
    <cellStyle name="Heading 4 27" xfId="2452"/>
    <cellStyle name="Heading 4 27 2" xfId="2453"/>
    <cellStyle name="Heading 4 27 3" xfId="2454"/>
    <cellStyle name="Heading 4 27 4" xfId="2455"/>
    <cellStyle name="Heading 4 27 5" xfId="2456"/>
    <cellStyle name="Heading 4 27 6" xfId="2457"/>
    <cellStyle name="Heading 4 28" xfId="2458"/>
    <cellStyle name="Heading 4 29" xfId="2459"/>
    <cellStyle name="Heading 4 3" xfId="2460"/>
    <cellStyle name="Heading 4 30" xfId="2461"/>
    <cellStyle name="Heading 4 31" xfId="2462"/>
    <cellStyle name="Heading 4 32" xfId="4113"/>
    <cellStyle name="Heading 4 32 2" xfId="5354"/>
    <cellStyle name="Heading 4 32 3" xfId="5968"/>
    <cellStyle name="Heading 4 33" xfId="3907"/>
    <cellStyle name="Heading 4 33 2" xfId="5250"/>
    <cellStyle name="Heading 4 33 3" xfId="5864"/>
    <cellStyle name="Heading 4 34" xfId="4366"/>
    <cellStyle name="Heading 4 34 2" xfId="5463"/>
    <cellStyle name="Heading 4 34 3" xfId="6075"/>
    <cellStyle name="Heading 4 35" xfId="3922"/>
    <cellStyle name="Heading 4 35 2" xfId="5263"/>
    <cellStyle name="Heading 4 35 3" xfId="5877"/>
    <cellStyle name="Heading 4 36" xfId="3941"/>
    <cellStyle name="Heading 4 36 2" xfId="5272"/>
    <cellStyle name="Heading 4 36 3" xfId="5886"/>
    <cellStyle name="Heading 4 37" xfId="4635"/>
    <cellStyle name="Heading 4 37 2" xfId="5661"/>
    <cellStyle name="Heading 4 37 3" xfId="6271"/>
    <cellStyle name="Heading 4 38" xfId="4138"/>
    <cellStyle name="Heading 4 38 2" xfId="5378"/>
    <cellStyle name="Heading 4 38 3" xfId="5992"/>
    <cellStyle name="Heading 4 39" xfId="4193"/>
    <cellStyle name="Heading 4 39 2" xfId="5425"/>
    <cellStyle name="Heading 4 39 3" xfId="6039"/>
    <cellStyle name="Heading 4 4" xfId="2463"/>
    <cellStyle name="Heading 4 40" xfId="4123"/>
    <cellStyle name="Heading 4 40 2" xfId="5363"/>
    <cellStyle name="Heading 4 40 3" xfId="5977"/>
    <cellStyle name="Heading 4 41" xfId="4174"/>
    <cellStyle name="Heading 4 41 2" xfId="5407"/>
    <cellStyle name="Heading 4 41 3" xfId="6021"/>
    <cellStyle name="Heading 4 42" xfId="3960"/>
    <cellStyle name="Heading 4 42 2" xfId="5289"/>
    <cellStyle name="Heading 4 42 3" xfId="5903"/>
    <cellStyle name="Heading 4 43" xfId="4212"/>
    <cellStyle name="Heading 4 43 2" xfId="5436"/>
    <cellStyle name="Heading 4 43 3" xfId="6049"/>
    <cellStyle name="Heading 4 44" xfId="3948"/>
    <cellStyle name="Heading 4 44 2" xfId="5277"/>
    <cellStyle name="Heading 4 44 3" xfId="5891"/>
    <cellStyle name="Heading 4 45" xfId="4791"/>
    <cellStyle name="Heading 4 45 2" xfId="5783"/>
    <cellStyle name="Heading 4 45 3" xfId="6393"/>
    <cellStyle name="Heading 4 46" xfId="4410"/>
    <cellStyle name="Heading 4 47" xfId="5189"/>
    <cellStyle name="Heading 4 5" xfId="2464"/>
    <cellStyle name="Heading 4 6" xfId="2465"/>
    <cellStyle name="Heading 4 7" xfId="2466"/>
    <cellStyle name="Heading 4 8" xfId="2467"/>
    <cellStyle name="Heading 4 9" xfId="2468"/>
    <cellStyle name="HEADINGS" xfId="2469"/>
    <cellStyle name="HEADINGSTOP" xfId="2470"/>
    <cellStyle name="Hyperlink 2" xfId="2471"/>
    <cellStyle name="Hyperlink 3" xfId="2472"/>
    <cellStyle name="Incorrecto" xfId="2473"/>
    <cellStyle name="Input" xfId="2474"/>
    <cellStyle name="Input [yellow]" xfId="2475"/>
    <cellStyle name="Input [yellow] 2" xfId="2476"/>
    <cellStyle name="Input [yellow] 2 2" xfId="2477"/>
    <cellStyle name="Input [yellow] 2 2 2" xfId="2478"/>
    <cellStyle name="Input [yellow] 2 2 2 2" xfId="2479"/>
    <cellStyle name="Input [yellow] 2 2 2 2 2" xfId="2480"/>
    <cellStyle name="Input [yellow] 2 2 2 3" xfId="2481"/>
    <cellStyle name="Input [yellow] 2 2 3" xfId="2482"/>
    <cellStyle name="Input [yellow] 2 2 3 2" xfId="2483"/>
    <cellStyle name="Input [yellow] 2 2 4" xfId="2484"/>
    <cellStyle name="Input [yellow] 2 3" xfId="2485"/>
    <cellStyle name="Input [yellow] 2 3 2" xfId="2486"/>
    <cellStyle name="Input [yellow] 2 3 2 2" xfId="2487"/>
    <cellStyle name="Input [yellow] 2 3 3" xfId="2488"/>
    <cellStyle name="Input [yellow] 2 4" xfId="2489"/>
    <cellStyle name="Input [yellow] 2 4 2" xfId="2490"/>
    <cellStyle name="Input [yellow] 2 5" xfId="2491"/>
    <cellStyle name="Input [yellow] 2 6" xfId="5063"/>
    <cellStyle name="Input [yellow] 2 7" xfId="5025"/>
    <cellStyle name="Input [yellow] 3" xfId="2492"/>
    <cellStyle name="Input [yellow]_Def" xfId="2493"/>
    <cellStyle name="Input 10" xfId="2494"/>
    <cellStyle name="Input 100" xfId="2495"/>
    <cellStyle name="Input 101" xfId="2496"/>
    <cellStyle name="Input 102" xfId="2497"/>
    <cellStyle name="Input 103" xfId="2498"/>
    <cellStyle name="Input 104" xfId="2499"/>
    <cellStyle name="Input 105" xfId="2500"/>
    <cellStyle name="Input 106" xfId="2501"/>
    <cellStyle name="Input 107" xfId="2502"/>
    <cellStyle name="Input 108" xfId="2503"/>
    <cellStyle name="Input 109" xfId="2504"/>
    <cellStyle name="Input 11" xfId="2505"/>
    <cellStyle name="Input 110" xfId="2506"/>
    <cellStyle name="Input 111" xfId="2507"/>
    <cellStyle name="Input 112" xfId="2508"/>
    <cellStyle name="Input 113" xfId="2509"/>
    <cellStyle name="Input 114" xfId="2510"/>
    <cellStyle name="Input 115" xfId="2511"/>
    <cellStyle name="Input 116" xfId="2512"/>
    <cellStyle name="Input 117" xfId="2513"/>
    <cellStyle name="Input 118" xfId="2514"/>
    <cellStyle name="Input 119" xfId="2515"/>
    <cellStyle name="Input 12" xfId="2516"/>
    <cellStyle name="Input 120" xfId="2517"/>
    <cellStyle name="Input 121" xfId="2518"/>
    <cellStyle name="Input 122" xfId="2519"/>
    <cellStyle name="Input 123" xfId="2520"/>
    <cellStyle name="Input 124" xfId="2521"/>
    <cellStyle name="Input 125" xfId="2522"/>
    <cellStyle name="Input 126" xfId="2523"/>
    <cellStyle name="Input 127" xfId="2524"/>
    <cellStyle name="Input 128" xfId="2525"/>
    <cellStyle name="Input 129" xfId="2526"/>
    <cellStyle name="Input 13" xfId="2527"/>
    <cellStyle name="Input 130" xfId="2528"/>
    <cellStyle name="Input 131" xfId="2529"/>
    <cellStyle name="Input 132" xfId="2530"/>
    <cellStyle name="Input 133" xfId="2531"/>
    <cellStyle name="Input 134" xfId="2532"/>
    <cellStyle name="Input 135" xfId="2533"/>
    <cellStyle name="Input 136" xfId="2534"/>
    <cellStyle name="Input 137" xfId="2535"/>
    <cellStyle name="Input 138" xfId="2536"/>
    <cellStyle name="Input 139" xfId="2537"/>
    <cellStyle name="Input 14" xfId="2538"/>
    <cellStyle name="Input 140" xfId="2539"/>
    <cellStyle name="Input 141" xfId="2540"/>
    <cellStyle name="Input 141 2" xfId="2541"/>
    <cellStyle name="Input 141 3" xfId="2542"/>
    <cellStyle name="Input 141 4" xfId="2543"/>
    <cellStyle name="Input 141 5" xfId="2544"/>
    <cellStyle name="Input 141 6" xfId="2545"/>
    <cellStyle name="Input 142" xfId="2546"/>
    <cellStyle name="Input 143" xfId="2547"/>
    <cellStyle name="Input 144" xfId="2548"/>
    <cellStyle name="Input 145" xfId="2549"/>
    <cellStyle name="Input 146" xfId="4115"/>
    <cellStyle name="Input 146 2" xfId="5355"/>
    <cellStyle name="Input 146 3" xfId="5969"/>
    <cellStyle name="Input 147" xfId="3904"/>
    <cellStyle name="Input 147 2" xfId="5247"/>
    <cellStyle name="Input 147 3" xfId="5861"/>
    <cellStyle name="Input 148" xfId="4363"/>
    <cellStyle name="Input 148 2" xfId="5461"/>
    <cellStyle name="Input 148 3" xfId="6073"/>
    <cellStyle name="Input 149" xfId="4568"/>
    <cellStyle name="Input 149 2" xfId="5620"/>
    <cellStyle name="Input 149 3" xfId="6230"/>
    <cellStyle name="Input 15" xfId="2550"/>
    <cellStyle name="Input 150" xfId="3944"/>
    <cellStyle name="Input 150 2" xfId="5273"/>
    <cellStyle name="Input 150 3" xfId="5887"/>
    <cellStyle name="Input 151" xfId="4058"/>
    <cellStyle name="Input 151 2" xfId="5315"/>
    <cellStyle name="Input 151 3" xfId="5929"/>
    <cellStyle name="Input 152" xfId="4145"/>
    <cellStyle name="Input 152 2" xfId="5380"/>
    <cellStyle name="Input 152 3" xfId="5994"/>
    <cellStyle name="Input 153" xfId="4178"/>
    <cellStyle name="Input 153 2" xfId="5411"/>
    <cellStyle name="Input 153 3" xfId="6025"/>
    <cellStyle name="Input 154" xfId="4128"/>
    <cellStyle name="Input 154 2" xfId="5368"/>
    <cellStyle name="Input 154 3" xfId="5982"/>
    <cellStyle name="Input 155" xfId="4161"/>
    <cellStyle name="Input 155 2" xfId="5395"/>
    <cellStyle name="Input 155 3" xfId="6009"/>
    <cellStyle name="Input 156" xfId="4067"/>
    <cellStyle name="Input 156 2" xfId="5322"/>
    <cellStyle name="Input 156 3" xfId="5936"/>
    <cellStyle name="Input 157" xfId="4849"/>
    <cellStyle name="Input 157 2" xfId="5813"/>
    <cellStyle name="Input 157 3" xfId="6423"/>
    <cellStyle name="Input 158" xfId="4873"/>
    <cellStyle name="Input 158 2" xfId="5820"/>
    <cellStyle name="Input 158 3" xfId="6430"/>
    <cellStyle name="Input 159" xfId="4173"/>
    <cellStyle name="Input 159 2" xfId="5406"/>
    <cellStyle name="Input 159 3" xfId="6020"/>
    <cellStyle name="Input 16" xfId="2551"/>
    <cellStyle name="Input 160" xfId="4900"/>
    <cellStyle name="Input 161" xfId="5188"/>
    <cellStyle name="Input 17" xfId="2552"/>
    <cellStyle name="Input 18" xfId="2553"/>
    <cellStyle name="Input 19" xfId="2554"/>
    <cellStyle name="Input 2" xfId="2555"/>
    <cellStyle name="Input 2 2" xfId="2556"/>
    <cellStyle name="Input 2 3" xfId="2557"/>
    <cellStyle name="Input 2_U625 2nd Row 702K" xfId="2558"/>
    <cellStyle name="Input 20" xfId="2559"/>
    <cellStyle name="Input 21" xfId="2560"/>
    <cellStyle name="Input 22" xfId="2561"/>
    <cellStyle name="Input 23" xfId="2562"/>
    <cellStyle name="Input 24" xfId="2563"/>
    <cellStyle name="Input 25" xfId="2564"/>
    <cellStyle name="Input 26" xfId="2565"/>
    <cellStyle name="Input 27" xfId="2566"/>
    <cellStyle name="Input 28" xfId="2567"/>
    <cellStyle name="Input 29" xfId="2568"/>
    <cellStyle name="Input 3" xfId="2569"/>
    <cellStyle name="Input 3 2" xfId="2570"/>
    <cellStyle name="Input 30" xfId="2571"/>
    <cellStyle name="Input 31" xfId="2572"/>
    <cellStyle name="Input 32" xfId="2573"/>
    <cellStyle name="Input 33" xfId="2574"/>
    <cellStyle name="Input 34" xfId="2575"/>
    <cellStyle name="Input 35" xfId="2576"/>
    <cellStyle name="Input 36" xfId="2577"/>
    <cellStyle name="Input 37" xfId="2578"/>
    <cellStyle name="Input 38" xfId="2579"/>
    <cellStyle name="Input 39" xfId="2580"/>
    <cellStyle name="Input 4" xfId="2581"/>
    <cellStyle name="Input 40" xfId="2582"/>
    <cellStyle name="Input 41" xfId="2583"/>
    <cellStyle name="Input 42" xfId="2584"/>
    <cellStyle name="Input 43" xfId="2585"/>
    <cellStyle name="Input 44" xfId="2586"/>
    <cellStyle name="Input 45" xfId="2587"/>
    <cellStyle name="Input 46" xfId="2588"/>
    <cellStyle name="Input 47" xfId="2589"/>
    <cellStyle name="Input 48" xfId="2590"/>
    <cellStyle name="Input 49" xfId="2591"/>
    <cellStyle name="Input 5" xfId="2592"/>
    <cellStyle name="Input 50" xfId="2593"/>
    <cellStyle name="Input 51" xfId="2594"/>
    <cellStyle name="Input 52" xfId="2595"/>
    <cellStyle name="Input 53" xfId="2596"/>
    <cellStyle name="Input 54" xfId="2597"/>
    <cellStyle name="Input 55" xfId="2598"/>
    <cellStyle name="Input 56" xfId="2599"/>
    <cellStyle name="Input 57" xfId="2600"/>
    <cellStyle name="Input 58" xfId="2601"/>
    <cellStyle name="Input 59" xfId="2602"/>
    <cellStyle name="Input 6" xfId="2603"/>
    <cellStyle name="Input 60" xfId="2604"/>
    <cellStyle name="Input 61" xfId="2605"/>
    <cellStyle name="Input 62" xfId="2606"/>
    <cellStyle name="Input 63" xfId="2607"/>
    <cellStyle name="Input 64" xfId="2608"/>
    <cellStyle name="Input 65" xfId="2609"/>
    <cellStyle name="Input 66" xfId="2610"/>
    <cellStyle name="Input 67" xfId="2611"/>
    <cellStyle name="Input 68" xfId="2612"/>
    <cellStyle name="Input 69" xfId="2613"/>
    <cellStyle name="Input 7" xfId="2614"/>
    <cellStyle name="Input 70" xfId="2615"/>
    <cellStyle name="Input 71" xfId="2616"/>
    <cellStyle name="Input 72" xfId="2617"/>
    <cellStyle name="Input 73" xfId="2618"/>
    <cellStyle name="Input 74" xfId="2619"/>
    <cellStyle name="Input 75" xfId="2620"/>
    <cellStyle name="Input 76" xfId="2621"/>
    <cellStyle name="Input 77" xfId="2622"/>
    <cellStyle name="Input 78" xfId="2623"/>
    <cellStyle name="Input 79" xfId="2624"/>
    <cellStyle name="Input 8" xfId="2625"/>
    <cellStyle name="Input 80" xfId="2626"/>
    <cellStyle name="Input 81" xfId="2627"/>
    <cellStyle name="Input 82" xfId="2628"/>
    <cellStyle name="Input 83" xfId="2629"/>
    <cellStyle name="Input 84" xfId="2630"/>
    <cellStyle name="Input 85" xfId="2631"/>
    <cellStyle name="Input 86" xfId="2632"/>
    <cellStyle name="Input 87" xfId="2633"/>
    <cellStyle name="Input 88" xfId="2634"/>
    <cellStyle name="Input 89" xfId="2635"/>
    <cellStyle name="Input 9" xfId="2636"/>
    <cellStyle name="Input 90" xfId="2637"/>
    <cellStyle name="Input 91" xfId="2638"/>
    <cellStyle name="Input 92" xfId="2639"/>
    <cellStyle name="Input 93" xfId="2640"/>
    <cellStyle name="Input 94" xfId="2641"/>
    <cellStyle name="Input 95" xfId="2642"/>
    <cellStyle name="Input 96" xfId="2643"/>
    <cellStyle name="Input 97" xfId="2644"/>
    <cellStyle name="Input 98" xfId="2645"/>
    <cellStyle name="Input 99" xfId="2646"/>
    <cellStyle name="Input Cells" xfId="2647"/>
    <cellStyle name="Item_Current" xfId="2648"/>
    <cellStyle name="Link Currency (0)" xfId="2649"/>
    <cellStyle name="Link Currency (0) 2" xfId="2650"/>
    <cellStyle name="Link Currency (0) 2 2" xfId="2651"/>
    <cellStyle name="Link Currency (0) 3" xfId="2652"/>
    <cellStyle name="Link Currency (0) 3 2" xfId="2653"/>
    <cellStyle name="Link Currency (0) 4" xfId="2654"/>
    <cellStyle name="Link Currency (0) 4 2" xfId="2655"/>
    <cellStyle name="Link Currency (0) 4 2 2" xfId="2656"/>
    <cellStyle name="Link Currency (0) 4 3" xfId="2657"/>
    <cellStyle name="Link Currency (0) 4 3 2" xfId="2658"/>
    <cellStyle name="Link Currency (0) 5" xfId="2659"/>
    <cellStyle name="Link Currency (0) 5 2" xfId="2660"/>
    <cellStyle name="Link Currency (0)_U625 2nd Row 702K" xfId="2661"/>
    <cellStyle name="Link Currency (2)" xfId="2662"/>
    <cellStyle name="Link Currency (2) 2" xfId="2663"/>
    <cellStyle name="Link Currency (2) 2 2" xfId="2664"/>
    <cellStyle name="Link Currency (2) 2 2 2" xfId="2665"/>
    <cellStyle name="Link Currency (2) 2 2 2 2" xfId="2666"/>
    <cellStyle name="Link Currency (2) 2 2 3" xfId="2667"/>
    <cellStyle name="Link Currency (2) 2 3" xfId="2668"/>
    <cellStyle name="Link Currency (2) 2 3 2" xfId="2669"/>
    <cellStyle name="Link Currency (2) 2 4" xfId="2670"/>
    <cellStyle name="Link Currency (2) 3" xfId="2671"/>
    <cellStyle name="Link Currency (2)_Def" xfId="2672"/>
    <cellStyle name="Link Units (0)" xfId="2673"/>
    <cellStyle name="Link Units (0) 2" xfId="2674"/>
    <cellStyle name="Link Units (0) 2 2" xfId="2675"/>
    <cellStyle name="Link Units (0) 3" xfId="2676"/>
    <cellStyle name="Link Units (0) 3 2" xfId="2677"/>
    <cellStyle name="Link Units (0) 4" xfId="2678"/>
    <cellStyle name="Link Units (0) 4 2" xfId="2679"/>
    <cellStyle name="Link Units (0) 4 2 2" xfId="2680"/>
    <cellStyle name="Link Units (0) 4 3" xfId="2681"/>
    <cellStyle name="Link Units (0) 4 3 2" xfId="2682"/>
    <cellStyle name="Link Units (0) 5" xfId="2683"/>
    <cellStyle name="Link Units (0) 5 2" xfId="2684"/>
    <cellStyle name="Link Units (0)_U625 2nd Row 702K" xfId="2685"/>
    <cellStyle name="Link Units (1)" xfId="2686"/>
    <cellStyle name="Link Units (1) 2" xfId="2687"/>
    <cellStyle name="Link Units (1) 2 2" xfId="2688"/>
    <cellStyle name="Link Units (1) 2 2 2" xfId="2689"/>
    <cellStyle name="Link Units (1) 2 2 2 2" xfId="2690"/>
    <cellStyle name="Link Units (1) 2 2 3" xfId="2691"/>
    <cellStyle name="Link Units (1) 2 3" xfId="2692"/>
    <cellStyle name="Link Units (1) 2 3 2" xfId="2693"/>
    <cellStyle name="Link Units (1) 2 4" xfId="2694"/>
    <cellStyle name="Link Units (1) 3" xfId="2695"/>
    <cellStyle name="Link Units (1)_Def" xfId="2696"/>
    <cellStyle name="Link Units (2)" xfId="2697"/>
    <cellStyle name="Link Units (2) 2" xfId="2698"/>
    <cellStyle name="Link Units (2) 2 2" xfId="2699"/>
    <cellStyle name="Link Units (2) 2 2 2" xfId="2700"/>
    <cellStyle name="Link Units (2) 2 2 2 2" xfId="2701"/>
    <cellStyle name="Link Units (2) 2 2 3" xfId="2702"/>
    <cellStyle name="Link Units (2) 2 3" xfId="2703"/>
    <cellStyle name="Link Units (2) 2 3 2" xfId="2704"/>
    <cellStyle name="Link Units (2) 2 4" xfId="2705"/>
    <cellStyle name="Link Units (2) 3" xfId="2706"/>
    <cellStyle name="Link Units (2)_Def" xfId="2707"/>
    <cellStyle name="Linked Cell" xfId="2708"/>
    <cellStyle name="Linked Cell 10" xfId="2709"/>
    <cellStyle name="Linked Cell 11" xfId="2710"/>
    <cellStyle name="Linked Cell 12" xfId="2711"/>
    <cellStyle name="Linked Cell 13" xfId="2712"/>
    <cellStyle name="Linked Cell 14" xfId="2713"/>
    <cellStyle name="Linked Cell 15" xfId="2714"/>
    <cellStyle name="Linked Cell 16" xfId="2715"/>
    <cellStyle name="Linked Cell 17" xfId="2716"/>
    <cellStyle name="Linked Cell 18" xfId="2717"/>
    <cellStyle name="Linked Cell 19" xfId="2718"/>
    <cellStyle name="Linked Cell 2" xfId="2719"/>
    <cellStyle name="Linked Cell 2 2" xfId="2720"/>
    <cellStyle name="Linked Cell 2 3" xfId="2721"/>
    <cellStyle name="Linked Cell 2_U625 2nd Row 702K" xfId="2722"/>
    <cellStyle name="Linked Cell 20" xfId="2723"/>
    <cellStyle name="Linked Cell 21" xfId="2724"/>
    <cellStyle name="Linked Cell 22" xfId="2725"/>
    <cellStyle name="Linked Cell 23" xfId="2726"/>
    <cellStyle name="Linked Cell 24" xfId="2727"/>
    <cellStyle name="Linked Cell 25" xfId="2728"/>
    <cellStyle name="Linked Cell 26" xfId="2729"/>
    <cellStyle name="Linked Cell 27" xfId="2730"/>
    <cellStyle name="Linked Cell 27 2" xfId="2731"/>
    <cellStyle name="Linked Cell 27 3" xfId="2732"/>
    <cellStyle name="Linked Cell 27 4" xfId="2733"/>
    <cellStyle name="Linked Cell 27 5" xfId="2734"/>
    <cellStyle name="Linked Cell 27 6" xfId="2735"/>
    <cellStyle name="Linked Cell 28" xfId="2736"/>
    <cellStyle name="Linked Cell 29" xfId="2737"/>
    <cellStyle name="Linked Cell 3" xfId="2738"/>
    <cellStyle name="Linked Cell 30" xfId="2739"/>
    <cellStyle name="Linked Cell 31" xfId="2740"/>
    <cellStyle name="Linked Cell 32" xfId="4122"/>
    <cellStyle name="Linked Cell 32 2" xfId="5362"/>
    <cellStyle name="Linked Cell 32 3" xfId="5976"/>
    <cellStyle name="Linked Cell 33" xfId="4361"/>
    <cellStyle name="Linked Cell 33 2" xfId="5460"/>
    <cellStyle name="Linked Cell 33 3" xfId="6072"/>
    <cellStyle name="Linked Cell 34" xfId="3901"/>
    <cellStyle name="Linked Cell 34 2" xfId="5245"/>
    <cellStyle name="Linked Cell 34 3" xfId="5859"/>
    <cellStyle name="Linked Cell 35" xfId="3911"/>
    <cellStyle name="Linked Cell 35 2" xfId="5254"/>
    <cellStyle name="Linked Cell 35 3" xfId="5868"/>
    <cellStyle name="Linked Cell 36" xfId="3953"/>
    <cellStyle name="Linked Cell 36 2" xfId="5282"/>
    <cellStyle name="Linked Cell 36 3" xfId="5896"/>
    <cellStyle name="Linked Cell 37" xfId="3956"/>
    <cellStyle name="Linked Cell 37 2" xfId="5285"/>
    <cellStyle name="Linked Cell 37 3" xfId="5899"/>
    <cellStyle name="Linked Cell 38" xfId="4159"/>
    <cellStyle name="Linked Cell 38 2" xfId="5393"/>
    <cellStyle name="Linked Cell 38 3" xfId="6007"/>
    <cellStyle name="Linked Cell 39" xfId="4165"/>
    <cellStyle name="Linked Cell 39 2" xfId="5398"/>
    <cellStyle name="Linked Cell 39 3" xfId="6012"/>
    <cellStyle name="Linked Cell 4" xfId="2741"/>
    <cellStyle name="Linked Cell 40" xfId="4157"/>
    <cellStyle name="Linked Cell 40 2" xfId="5392"/>
    <cellStyle name="Linked Cell 40 3" xfId="6006"/>
    <cellStyle name="Linked Cell 41" xfId="4139"/>
    <cellStyle name="Linked Cell 41 2" xfId="5379"/>
    <cellStyle name="Linked Cell 41 3" xfId="5993"/>
    <cellStyle name="Linked Cell 42" xfId="4126"/>
    <cellStyle name="Linked Cell 42 2" xfId="5366"/>
    <cellStyle name="Linked Cell 42 3" xfId="5980"/>
    <cellStyle name="Linked Cell 43" xfId="4156"/>
    <cellStyle name="Linked Cell 43 2" xfId="5391"/>
    <cellStyle name="Linked Cell 43 3" xfId="6005"/>
    <cellStyle name="Linked Cell 44" xfId="4116"/>
    <cellStyle name="Linked Cell 44 2" xfId="5356"/>
    <cellStyle name="Linked Cell 44 3" xfId="5970"/>
    <cellStyle name="Linked Cell 45" xfId="4758"/>
    <cellStyle name="Linked Cell 45 2" xfId="5760"/>
    <cellStyle name="Linked Cell 45 3" xfId="6370"/>
    <cellStyle name="Linked Cell 46" xfId="4068"/>
    <cellStyle name="Linked Cell 47" xfId="5186"/>
    <cellStyle name="Linked Cell 5" xfId="2742"/>
    <cellStyle name="Linked Cell 6" xfId="2743"/>
    <cellStyle name="Linked Cell 7" xfId="2744"/>
    <cellStyle name="Linked Cell 8" xfId="2745"/>
    <cellStyle name="Linked Cell 9" xfId="2746"/>
    <cellStyle name="Linked Cells" xfId="2747"/>
    <cellStyle name="M: Mittel" xfId="2748"/>
    <cellStyle name="M: Mittel 2" xfId="2749"/>
    <cellStyle name="M: Mittel 2 2" xfId="5064"/>
    <cellStyle name="M: Mittel 2 3" xfId="5024"/>
    <cellStyle name="M: Mittel 3" xfId="2750"/>
    <cellStyle name="M: Mittel 3 2" xfId="5065"/>
    <cellStyle name="M: Mittel 3 3" xfId="5023"/>
    <cellStyle name="M: Mittel 4" xfId="2751"/>
    <cellStyle name="M: Mittel 4 2" xfId="5066"/>
    <cellStyle name="M: Mittel 4 3" xfId="5022"/>
    <cellStyle name="M: Mittel 5" xfId="2752"/>
    <cellStyle name="M: Mittel 5 2" xfId="5067"/>
    <cellStyle name="M: Mittel 5 3" xfId="5021"/>
    <cellStyle name="M: Mittel 6" xfId="2753"/>
    <cellStyle name="M: Mittel 6 2" xfId="5068"/>
    <cellStyle name="M: Mittel 6 3" xfId="5020"/>
    <cellStyle name="M: Mittel 7" xfId="2754"/>
    <cellStyle name="M: Mittel 7 2" xfId="5069"/>
    <cellStyle name="M: Mittel 7 3" xfId="5019"/>
    <cellStyle name="M: Ohne" xfId="2755"/>
    <cellStyle name="M: Ohne 2" xfId="2756"/>
    <cellStyle name="M: Ohne 2 2" xfId="5070"/>
    <cellStyle name="M: Ohne 2 3" xfId="5018"/>
    <cellStyle name="M: Ohne 3" xfId="2757"/>
    <cellStyle name="M: Ohne 3 2" xfId="5071"/>
    <cellStyle name="M: Ohne 3 3" xfId="5017"/>
    <cellStyle name="M: Ohne 4" xfId="2758"/>
    <cellStyle name="M: Ohne 4 2" xfId="5072"/>
    <cellStyle name="M: Ohne 4 3" xfId="5016"/>
    <cellStyle name="M: Ohne 5" xfId="2759"/>
    <cellStyle name="M: Ohne 5 2" xfId="5073"/>
    <cellStyle name="M: Ohne 5 3" xfId="5015"/>
    <cellStyle name="M: Ohne 6" xfId="2760"/>
    <cellStyle name="M: Ohne 6 2" xfId="5074"/>
    <cellStyle name="M: Ohne 6 3" xfId="5014"/>
    <cellStyle name="M: Ohne 7" xfId="2761"/>
    <cellStyle name="M: Ohne 7 2" xfId="5075"/>
    <cellStyle name="M: Ohne 7 3" xfId="5013"/>
    <cellStyle name="M: Schwach" xfId="2762"/>
    <cellStyle name="M: Schwach 2" xfId="2763"/>
    <cellStyle name="M: Schwach 2 2" xfId="5076"/>
    <cellStyle name="M: Schwach 2 3" xfId="5012"/>
    <cellStyle name="M: Schwach 3" xfId="2764"/>
    <cellStyle name="M: Schwach 3 2" xfId="5077"/>
    <cellStyle name="M: Schwach 3 3" xfId="5011"/>
    <cellStyle name="M: Schwach 4" xfId="2765"/>
    <cellStyle name="M: Schwach 4 2" xfId="5078"/>
    <cellStyle name="M: Schwach 4 3" xfId="5010"/>
    <cellStyle name="M: Schwach 5" xfId="2766"/>
    <cellStyle name="M: Schwach 5 2" xfId="5079"/>
    <cellStyle name="M: Schwach 5 3" xfId="5009"/>
    <cellStyle name="M: Schwach 6" xfId="2767"/>
    <cellStyle name="M: Schwach 6 2" xfId="5080"/>
    <cellStyle name="M: Schwach 6 3" xfId="5008"/>
    <cellStyle name="M: Schwach 7" xfId="2768"/>
    <cellStyle name="M: Schwach 7 2" xfId="5081"/>
    <cellStyle name="M: Schwach 7 3" xfId="5007"/>
    <cellStyle name="M: Stark" xfId="2769"/>
    <cellStyle name="M: Stark 2" xfId="2770"/>
    <cellStyle name="M: Stark 2 2" xfId="5082"/>
    <cellStyle name="M: Stark 2 3" xfId="5006"/>
    <cellStyle name="M: Stark 3" xfId="2771"/>
    <cellStyle name="M: Stark 3 2" xfId="5083"/>
    <cellStyle name="M: Stark 3 3" xfId="5005"/>
    <cellStyle name="M: Stark 4" xfId="2772"/>
    <cellStyle name="M: Stark 4 2" xfId="5084"/>
    <cellStyle name="M: Stark 4 3" xfId="5004"/>
    <cellStyle name="M: Stark 5" xfId="2773"/>
    <cellStyle name="M: Stark 5 2" xfId="5085"/>
    <cellStyle name="M: Stark 5 3" xfId="5003"/>
    <cellStyle name="M: Stark 6" xfId="2774"/>
    <cellStyle name="M: Stark 6 2" xfId="5086"/>
    <cellStyle name="M: Stark 6 3" xfId="5002"/>
    <cellStyle name="M: Stark 7" xfId="2775"/>
    <cellStyle name="M: Stark 7 2" xfId="5087"/>
    <cellStyle name="M: Stark 7 3" xfId="5001"/>
    <cellStyle name="Migliaia (0)_Cartel1" xfId="2776"/>
    <cellStyle name="Migliaia_HRE 2002 Stamping Definitivo senza formule_29_04_02" xfId="2777"/>
    <cellStyle name="Milliers [0]_!!!GO" xfId="2778"/>
    <cellStyle name="Milliers_!!!GO" xfId="2779"/>
    <cellStyle name="Mit Vorzeichen" xfId="2780"/>
    <cellStyle name="Mit Vorzeichen 2" xfId="2781"/>
    <cellStyle name="Mit Vorzeichen 2 2" xfId="5088"/>
    <cellStyle name="Mit Vorzeichen 2 3" xfId="5000"/>
    <cellStyle name="Mit Vorzeichen 3" xfId="2782"/>
    <cellStyle name="Mit Vorzeichen 3 2" xfId="5089"/>
    <cellStyle name="Mit Vorzeichen 3 3" xfId="4999"/>
    <cellStyle name="Mit Vorzeichen 4" xfId="2783"/>
    <cellStyle name="Mit Vorzeichen 4 2" xfId="5090"/>
    <cellStyle name="Mit Vorzeichen 4 3" xfId="4998"/>
    <cellStyle name="Mit Vorzeichen 5" xfId="2784"/>
    <cellStyle name="Mit Vorzeichen 5 2" xfId="5091"/>
    <cellStyle name="Mit Vorzeichen 5 3" xfId="4997"/>
    <cellStyle name="Mit Vorzeichen 6" xfId="2785"/>
    <cellStyle name="Mit Vorzeichen 6 2" xfId="5092"/>
    <cellStyle name="Mit Vorzeichen 6 3" xfId="4996"/>
    <cellStyle name="Mit Vorzeichen 7" xfId="2786"/>
    <cellStyle name="Mit Vorzeichen 7 2" xfId="5093"/>
    <cellStyle name="Mit Vorzeichen 7 3" xfId="4995"/>
    <cellStyle name="Model" xfId="2787"/>
    <cellStyle name="Moeda [0]_aola" xfId="2788"/>
    <cellStyle name="Moeda_aola" xfId="2789"/>
    <cellStyle name="Monétaire [0]_!!!GO" xfId="2790"/>
    <cellStyle name="Monétaire_!!!GO" xfId="2791"/>
    <cellStyle name="Neutral" xfId="2792"/>
    <cellStyle name="Neutral 10" xfId="2793"/>
    <cellStyle name="Neutral 11" xfId="2794"/>
    <cellStyle name="Neutral 12" xfId="2795"/>
    <cellStyle name="Neutral 13" xfId="2796"/>
    <cellStyle name="Neutral 14" xfId="2797"/>
    <cellStyle name="Neutral 15" xfId="2798"/>
    <cellStyle name="Neutral 16" xfId="2799"/>
    <cellStyle name="Neutral 17" xfId="2800"/>
    <cellStyle name="Neutral 18" xfId="2801"/>
    <cellStyle name="Neutral 19" xfId="2802"/>
    <cellStyle name="Neutral 2" xfId="2803"/>
    <cellStyle name="Neutral 2 2" xfId="2804"/>
    <cellStyle name="Neutral 2 3" xfId="2805"/>
    <cellStyle name="Neutral 2_U625 2nd Row 702K" xfId="2806"/>
    <cellStyle name="Neutral 20" xfId="2807"/>
    <cellStyle name="Neutral 21" xfId="2808"/>
    <cellStyle name="Neutral 22" xfId="2809"/>
    <cellStyle name="Neutral 23" xfId="2810"/>
    <cellStyle name="Neutral 24" xfId="2811"/>
    <cellStyle name="Neutral 25" xfId="2812"/>
    <cellStyle name="Neutral 26" xfId="2813"/>
    <cellStyle name="Neutral 27" xfId="2814"/>
    <cellStyle name="Neutral 27 2" xfId="2815"/>
    <cellStyle name="Neutral 27 3" xfId="2816"/>
    <cellStyle name="Neutral 27 4" xfId="2817"/>
    <cellStyle name="Neutral 27 5" xfId="2818"/>
    <cellStyle name="Neutral 27 6" xfId="2819"/>
    <cellStyle name="Neutral 28" xfId="2820"/>
    <cellStyle name="Neutral 29" xfId="2821"/>
    <cellStyle name="Neutral 3" xfId="2822"/>
    <cellStyle name="Neutral 30" xfId="2823"/>
    <cellStyle name="Neutral 31" xfId="2824"/>
    <cellStyle name="Neutral 32" xfId="4134"/>
    <cellStyle name="Neutral 32 2" xfId="5374"/>
    <cellStyle name="Neutral 32 3" xfId="5988"/>
    <cellStyle name="Neutral 33" xfId="4371"/>
    <cellStyle name="Neutral 33 2" xfId="5468"/>
    <cellStyle name="Neutral 33 3" xfId="6080"/>
    <cellStyle name="Neutral 34" xfId="3919"/>
    <cellStyle name="Neutral 34 2" xfId="5261"/>
    <cellStyle name="Neutral 34 3" xfId="5875"/>
    <cellStyle name="Neutral 35" xfId="4365"/>
    <cellStyle name="Neutral 35 2" xfId="5462"/>
    <cellStyle name="Neutral 35 3" xfId="6074"/>
    <cellStyle name="Neutral 36" xfId="4069"/>
    <cellStyle name="Neutral 36 2" xfId="5323"/>
    <cellStyle name="Neutral 36 3" xfId="5937"/>
    <cellStyle name="Neutral 37" xfId="3920"/>
    <cellStyle name="Neutral 37 2" xfId="5262"/>
    <cellStyle name="Neutral 37 3" xfId="5876"/>
    <cellStyle name="Neutral 38" xfId="4186"/>
    <cellStyle name="Neutral 38 2" xfId="5418"/>
    <cellStyle name="Neutral 38 3" xfId="6032"/>
    <cellStyle name="Neutral 39" xfId="4127"/>
    <cellStyle name="Neutral 39 2" xfId="5367"/>
    <cellStyle name="Neutral 39 3" xfId="5981"/>
    <cellStyle name="Neutral 4" xfId="2825"/>
    <cellStyle name="Neutral 40" xfId="4198"/>
    <cellStyle name="Neutral 40 2" xfId="5429"/>
    <cellStyle name="Neutral 40 3" xfId="6043"/>
    <cellStyle name="Neutral 41" xfId="3961"/>
    <cellStyle name="Neutral 41 2" xfId="5290"/>
    <cellStyle name="Neutral 41 3" xfId="5904"/>
    <cellStyle name="Neutral 42" xfId="4699"/>
    <cellStyle name="Neutral 42 2" xfId="5711"/>
    <cellStyle name="Neutral 42 3" xfId="6321"/>
    <cellStyle name="Neutral 43" xfId="4817"/>
    <cellStyle name="Neutral 43 2" xfId="5799"/>
    <cellStyle name="Neutral 43 3" xfId="6409"/>
    <cellStyle name="Neutral 44" xfId="4200"/>
    <cellStyle name="Neutral 44 2" xfId="5431"/>
    <cellStyle name="Neutral 44 3" xfId="6045"/>
    <cellStyle name="Neutral 45" xfId="4404"/>
    <cellStyle name="Neutral 45 2" xfId="5487"/>
    <cellStyle name="Neutral 45 3" xfId="6099"/>
    <cellStyle name="Neutral 46" xfId="4185"/>
    <cellStyle name="Neutral 47" xfId="5184"/>
    <cellStyle name="Neutral 5" xfId="2826"/>
    <cellStyle name="Neutral 6" xfId="2827"/>
    <cellStyle name="Neutral 7" xfId="2828"/>
    <cellStyle name="Neutral 8" xfId="2829"/>
    <cellStyle name="Neutral 9" xfId="2830"/>
    <cellStyle name="no dec" xfId="2831"/>
    <cellStyle name="Normal" xfId="0" builtinId="0"/>
    <cellStyle name="Normal - Style1" xfId="2832"/>
    <cellStyle name="Normal - Style1 2" xfId="2833"/>
    <cellStyle name="Normal - Style1 2 2" xfId="2834"/>
    <cellStyle name="Normal - Style1 2 2 2" xfId="2835"/>
    <cellStyle name="Normal - Style1 2 2 3" xfId="2836"/>
    <cellStyle name="Normal - Style1 2 2 4" xfId="2837"/>
    <cellStyle name="Normal - Style1 2 2 5" xfId="2838"/>
    <cellStyle name="Normal - Style1 2 2 6" xfId="2839"/>
    <cellStyle name="Normal - Style1 2 3" xfId="2840"/>
    <cellStyle name="Normal - Style1 2 4" xfId="2841"/>
    <cellStyle name="Normal - Style1 2 5" xfId="2842"/>
    <cellStyle name="Normal - Style1 2 6" xfId="2843"/>
    <cellStyle name="Normal - Style1 3" xfId="2844"/>
    <cellStyle name="Normal - Style1 4" xfId="2845"/>
    <cellStyle name="Normal - Style1 5" xfId="2846"/>
    <cellStyle name="Normal - Style1 6" xfId="2847"/>
    <cellStyle name="Normal - Style1 7" xfId="2848"/>
    <cellStyle name="Normal 10" xfId="2849"/>
    <cellStyle name="Normal 10 2" xfId="2850"/>
    <cellStyle name="Normal 10 2 2" xfId="2851"/>
    <cellStyle name="Normal 10 3" xfId="2852"/>
    <cellStyle name="Normal 10 3 2" xfId="2853"/>
    <cellStyle name="Normal 10 3 2 2" xfId="5095"/>
    <cellStyle name="Normal 10 3 2 3" xfId="4993"/>
    <cellStyle name="Normal 10 3 3" xfId="5094"/>
    <cellStyle name="Normal 10 3 4" xfId="4994"/>
    <cellStyle name="Normal 10 4" xfId="2854"/>
    <cellStyle name="Normal 10 4 2" xfId="5096"/>
    <cellStyle name="Normal 10 4 3" xfId="4992"/>
    <cellStyle name="Normal 10 5" xfId="2855"/>
    <cellStyle name="Normal 10 5 2" xfId="5097"/>
    <cellStyle name="Normal 10 5 3" xfId="4991"/>
    <cellStyle name="Normal 10 6" xfId="2856"/>
    <cellStyle name="Normal 10 6 2" xfId="5098"/>
    <cellStyle name="Normal 10 6 3" xfId="4990"/>
    <cellStyle name="Normal 10 7" xfId="2857"/>
    <cellStyle name="Normal 10 7 2" xfId="5099"/>
    <cellStyle name="Normal 10 7 3" xfId="4989"/>
    <cellStyle name="Normal 10 8" xfId="2858"/>
    <cellStyle name="Normal 10 8 2" xfId="5100"/>
    <cellStyle name="Normal 10 8 3" xfId="4988"/>
    <cellStyle name="Normal 10 9" xfId="2859"/>
    <cellStyle name="Normal 10 9 2" xfId="5101"/>
    <cellStyle name="Normal 10 9 3" xfId="4987"/>
    <cellStyle name="Normal 10_FM_Ford P625 2nd Row Dome Lamp_Quote customer breakdown_120415" xfId="2860"/>
    <cellStyle name="Normal 100" xfId="2861"/>
    <cellStyle name="Normal 100 2" xfId="2862"/>
    <cellStyle name="Normal 101" xfId="2863"/>
    <cellStyle name="Normal 101 2" xfId="2864"/>
    <cellStyle name="Normal 102" xfId="2865"/>
    <cellStyle name="Normal 102 2" xfId="2866"/>
    <cellStyle name="Normal 103" xfId="2867"/>
    <cellStyle name="Normal 103 2" xfId="2868"/>
    <cellStyle name="Normal 104" xfId="2869"/>
    <cellStyle name="Normal 104 2" xfId="2870"/>
    <cellStyle name="Normal 105" xfId="2871"/>
    <cellStyle name="Normal 105 2" xfId="2872"/>
    <cellStyle name="Normal 106" xfId="2873"/>
    <cellStyle name="Normal 106 2" xfId="2874"/>
    <cellStyle name="Normal 107" xfId="2875"/>
    <cellStyle name="Normal 107 2" xfId="2876"/>
    <cellStyle name="Normal 108" xfId="2877"/>
    <cellStyle name="Normal 108 2" xfId="2878"/>
    <cellStyle name="Normal 109" xfId="2879"/>
    <cellStyle name="Normal 109 2" xfId="2880"/>
    <cellStyle name="Normal 11" xfId="2881"/>
    <cellStyle name="Normal 11 2" xfId="2882"/>
    <cellStyle name="Normal 11 2 2" xfId="2883"/>
    <cellStyle name="Normal 110" xfId="2884"/>
    <cellStyle name="Normal 110 2" xfId="2885"/>
    <cellStyle name="Normal 111" xfId="2886"/>
    <cellStyle name="Normal 111 2" xfId="2887"/>
    <cellStyle name="Normal 112" xfId="2888"/>
    <cellStyle name="Normal 112 2" xfId="2889"/>
    <cellStyle name="Normal 113" xfId="2890"/>
    <cellStyle name="Normal 113 2" xfId="2891"/>
    <cellStyle name="Normal 114" xfId="2892"/>
    <cellStyle name="Normal 114 2" xfId="2893"/>
    <cellStyle name="Normal 115" xfId="2894"/>
    <cellStyle name="Normal 115 2" xfId="2895"/>
    <cellStyle name="Normal 116" xfId="2896"/>
    <cellStyle name="Normal 116 2" xfId="2897"/>
    <cellStyle name="Normal 117" xfId="2898"/>
    <cellStyle name="Normal 117 2" xfId="2899"/>
    <cellStyle name="Normal 118" xfId="2900"/>
    <cellStyle name="Normal 118 2" xfId="2901"/>
    <cellStyle name="Normal 119" xfId="2902"/>
    <cellStyle name="Normal 119 2" xfId="2903"/>
    <cellStyle name="Normal 12" xfId="2904"/>
    <cellStyle name="Normal 12 2" xfId="2905"/>
    <cellStyle name="Normal 12 2 2" xfId="2906"/>
    <cellStyle name="Normal 120" xfId="2907"/>
    <cellStyle name="Normal 120 2" xfId="2908"/>
    <cellStyle name="Normal 121" xfId="2909"/>
    <cellStyle name="Normal 121 2" xfId="2910"/>
    <cellStyle name="Normal 122" xfId="2911"/>
    <cellStyle name="Normal 122 2" xfId="2912"/>
    <cellStyle name="Normal 123" xfId="2913"/>
    <cellStyle name="Normal 123 2" xfId="2914"/>
    <cellStyle name="Normal 124" xfId="2915"/>
    <cellStyle name="Normal 124 2" xfId="2916"/>
    <cellStyle name="Normal 125" xfId="2917"/>
    <cellStyle name="Normal 125 2" xfId="2918"/>
    <cellStyle name="Normal 126" xfId="2919"/>
    <cellStyle name="Normal 126 2" xfId="2920"/>
    <cellStyle name="Normal 127" xfId="2921"/>
    <cellStyle name="Normal 127 2" xfId="2922"/>
    <cellStyle name="Normal 128" xfId="2923"/>
    <cellStyle name="Normal 128 2" xfId="2924"/>
    <cellStyle name="Normal 129" xfId="2925"/>
    <cellStyle name="Normal 129 2" xfId="2926"/>
    <cellStyle name="Normal 13" xfId="2927"/>
    <cellStyle name="Normal 13 2" xfId="2928"/>
    <cellStyle name="Normal 13 2 2" xfId="2929"/>
    <cellStyle name="Normal 130" xfId="2930"/>
    <cellStyle name="Normal 130 2" xfId="2931"/>
    <cellStyle name="Normal 131" xfId="2932"/>
    <cellStyle name="Normal 131 2" xfId="2933"/>
    <cellStyle name="Normal 132" xfId="2934"/>
    <cellStyle name="Normal 132 2" xfId="2935"/>
    <cellStyle name="Normal 133" xfId="2936"/>
    <cellStyle name="Normal 133 2" xfId="2937"/>
    <cellStyle name="Normal 134" xfId="2938"/>
    <cellStyle name="Normal 134 2" xfId="2939"/>
    <cellStyle name="Normal 135" xfId="2940"/>
    <cellStyle name="Normal 135 2" xfId="2941"/>
    <cellStyle name="Normal 136" xfId="2942"/>
    <cellStyle name="Normal 136 2" xfId="2943"/>
    <cellStyle name="Normal 137" xfId="2944"/>
    <cellStyle name="Normal 137 2" xfId="2945"/>
    <cellStyle name="Normal 138" xfId="2946"/>
    <cellStyle name="Normal 138 2" xfId="2947"/>
    <cellStyle name="Normal 139" xfId="2948"/>
    <cellStyle name="Normal 139 2" xfId="2949"/>
    <cellStyle name="Normal 14" xfId="2950"/>
    <cellStyle name="Normal 14 2" xfId="2951"/>
    <cellStyle name="Normal 14 2 2" xfId="2952"/>
    <cellStyle name="Normal 140" xfId="2953"/>
    <cellStyle name="Normal 140 2" xfId="2954"/>
    <cellStyle name="Normal 141" xfId="2955"/>
    <cellStyle name="Normal 141 2" xfId="2956"/>
    <cellStyle name="Normal 142" xfId="2957"/>
    <cellStyle name="Normal 142 2" xfId="2958"/>
    <cellStyle name="Normal 143" xfId="2959"/>
    <cellStyle name="Normal 144" xfId="2960"/>
    <cellStyle name="Normal 145" xfId="2961"/>
    <cellStyle name="Normal 145 2" xfId="2962"/>
    <cellStyle name="Normal 146" xfId="2963"/>
    <cellStyle name="Normal 147" xfId="2964"/>
    <cellStyle name="Normal 148" xfId="2965"/>
    <cellStyle name="Normal 149" xfId="2966"/>
    <cellStyle name="Normal 15" xfId="2967"/>
    <cellStyle name="Normal 15 2" xfId="2968"/>
    <cellStyle name="Normal 15 2 2" xfId="2969"/>
    <cellStyle name="Normal 150" xfId="2970"/>
    <cellStyle name="Normal 151" xfId="2971"/>
    <cellStyle name="Normal 151 2" xfId="5102"/>
    <cellStyle name="Normal 151 3" xfId="4986"/>
    <cellStyle name="Normal 152" xfId="2972"/>
    <cellStyle name="Normal 152 2" xfId="5103"/>
    <cellStyle name="Normal 152 3" xfId="4985"/>
    <cellStyle name="Normal 153" xfId="2973"/>
    <cellStyle name="Normal 153 2" xfId="5104"/>
    <cellStyle name="Normal 153 3" xfId="4984"/>
    <cellStyle name="Normal 154" xfId="2974"/>
    <cellStyle name="Normal 154 2" xfId="5105"/>
    <cellStyle name="Normal 154 3" xfId="4983"/>
    <cellStyle name="Normal 155" xfId="2975"/>
    <cellStyle name="Normal 155 2" xfId="5106"/>
    <cellStyle name="Normal 155 3" xfId="4982"/>
    <cellStyle name="Normal 156 2" xfId="2976"/>
    <cellStyle name="Normal 156 2 2" xfId="5107"/>
    <cellStyle name="Normal 156 2 3" xfId="4981"/>
    <cellStyle name="Normal 156 3" xfId="2977"/>
    <cellStyle name="Normal 156 3 2" xfId="5108"/>
    <cellStyle name="Normal 156 3 3" xfId="4980"/>
    <cellStyle name="Normal 156 4" xfId="2978"/>
    <cellStyle name="Normal 156 4 2" xfId="5109"/>
    <cellStyle name="Normal 156 4 3" xfId="4979"/>
    <cellStyle name="Normal 156 5" xfId="2979"/>
    <cellStyle name="Normal 156 5 2" xfId="5110"/>
    <cellStyle name="Normal 156 5 3" xfId="4978"/>
    <cellStyle name="Normal 156 6" xfId="2980"/>
    <cellStyle name="Normal 156 6 2" xfId="5111"/>
    <cellStyle name="Normal 156 6 3" xfId="4977"/>
    <cellStyle name="Normal 157" xfId="2981"/>
    <cellStyle name="Normal 157 2" xfId="5112"/>
    <cellStyle name="Normal 157 3" xfId="4976"/>
    <cellStyle name="Normal 158" xfId="2982"/>
    <cellStyle name="Normal 158 2" xfId="5113"/>
    <cellStyle name="Normal 158 3" xfId="4975"/>
    <cellStyle name="Normal 159" xfId="2983"/>
    <cellStyle name="Normal 159 2" xfId="5114"/>
    <cellStyle name="Normal 159 3" xfId="4974"/>
    <cellStyle name="Normal 16" xfId="2984"/>
    <cellStyle name="Normal 16 2" xfId="2985"/>
    <cellStyle name="Normal 16 2 2" xfId="2986"/>
    <cellStyle name="Normal 16_DR BOM Wizard Parts list_Att III" xfId="2987"/>
    <cellStyle name="Normal 160" xfId="2988"/>
    <cellStyle name="Normal 160 2" xfId="5115"/>
    <cellStyle name="Normal 160 3" xfId="4973"/>
    <cellStyle name="Normal 161" xfId="2989"/>
    <cellStyle name="Normal 161 2" xfId="5116"/>
    <cellStyle name="Normal 161 3" xfId="4972"/>
    <cellStyle name="Normal 162" xfId="2990"/>
    <cellStyle name="Normal 162 2" xfId="5117"/>
    <cellStyle name="Normal 162 3" xfId="4971"/>
    <cellStyle name="Normal 163" xfId="2991"/>
    <cellStyle name="Normal 163 2" xfId="5118"/>
    <cellStyle name="Normal 163 3" xfId="4970"/>
    <cellStyle name="Normal 164" xfId="2992"/>
    <cellStyle name="Normal 164 2" xfId="5119"/>
    <cellStyle name="Normal 164 3" xfId="4969"/>
    <cellStyle name="Normal 165" xfId="2993"/>
    <cellStyle name="Normal 165 2" xfId="5120"/>
    <cellStyle name="Normal 165 3" xfId="4968"/>
    <cellStyle name="Normal 166" xfId="2994"/>
    <cellStyle name="Normal 166 2" xfId="5121"/>
    <cellStyle name="Normal 166 3" xfId="4967"/>
    <cellStyle name="Normal 167" xfId="2995"/>
    <cellStyle name="Normal 167 2" xfId="5122"/>
    <cellStyle name="Normal 167 3" xfId="4966"/>
    <cellStyle name="Normal 17" xfId="2996"/>
    <cellStyle name="Normal 17 2" xfId="2997"/>
    <cellStyle name="Normal 17 2 2" xfId="2998"/>
    <cellStyle name="Normal 17_DR BOM Wizard Parts list_Att III" xfId="2999"/>
    <cellStyle name="Normal 170" xfId="3000"/>
    <cellStyle name="Normal 18" xfId="3001"/>
    <cellStyle name="Normal 18 2" xfId="3002"/>
    <cellStyle name="Normal 18 2 2" xfId="3003"/>
    <cellStyle name="Normal 18_DR BOM Wizard Parts list_Att III" xfId="3004"/>
    <cellStyle name="Normal 19" xfId="3005"/>
    <cellStyle name="Normal 19 2" xfId="3006"/>
    <cellStyle name="Normal 19 2 2" xfId="3007"/>
    <cellStyle name="Normal 19_DR BOM Wizard Parts list_Att III" xfId="3008"/>
    <cellStyle name="Normal 2" xfId="3009"/>
    <cellStyle name="Normal 2 2" xfId="3010"/>
    <cellStyle name="Normal 2 2 2" xfId="3011"/>
    <cellStyle name="Normal 2 2 2 2" xfId="3012"/>
    <cellStyle name="Normal 2 2_U625 2nd Row 702K" xfId="3013"/>
    <cellStyle name="Normal 2 3" xfId="3014"/>
    <cellStyle name="Normal 2 3 2" xfId="3015"/>
    <cellStyle name="Normal 2 4" xfId="3016"/>
    <cellStyle name="Normal 2_113" xfId="3017"/>
    <cellStyle name="Normal 20" xfId="3018"/>
    <cellStyle name="Normal 20 2" xfId="3019"/>
    <cellStyle name="Normal 20 2 2" xfId="3020"/>
    <cellStyle name="Normal 20_DR BOM Wizard Parts list_Att III" xfId="3021"/>
    <cellStyle name="Normal 21" xfId="3022"/>
    <cellStyle name="Normal 21 2" xfId="3023"/>
    <cellStyle name="Normal 21 2 2" xfId="3024"/>
    <cellStyle name="Normal 22" xfId="3025"/>
    <cellStyle name="Normal 22 2" xfId="3026"/>
    <cellStyle name="Normal 22 2 2" xfId="3027"/>
    <cellStyle name="Normal 23" xfId="3028"/>
    <cellStyle name="Normal 23 2" xfId="3029"/>
    <cellStyle name="Normal 23 2 2" xfId="3030"/>
    <cellStyle name="Normal 24" xfId="3031"/>
    <cellStyle name="Normal 24 2" xfId="3032"/>
    <cellStyle name="Normal 24 2 2" xfId="3033"/>
    <cellStyle name="Normal 25" xfId="3034"/>
    <cellStyle name="Normal 25 2" xfId="3035"/>
    <cellStyle name="Normal 25 2 2" xfId="3036"/>
    <cellStyle name="Normal 26" xfId="3037"/>
    <cellStyle name="Normal 26 2" xfId="3038"/>
    <cellStyle name="Normal 26 2 2" xfId="3039"/>
    <cellStyle name="Normal 27" xfId="3040"/>
    <cellStyle name="Normal 27 2" xfId="3041"/>
    <cellStyle name="Normal 27 2 2" xfId="3042"/>
    <cellStyle name="Normal 28" xfId="3043"/>
    <cellStyle name="Normal 28 2" xfId="3044"/>
    <cellStyle name="Normal 28 2 2" xfId="3045"/>
    <cellStyle name="Normal 29" xfId="3046"/>
    <cellStyle name="Normal 29 2" xfId="3047"/>
    <cellStyle name="Normal 3" xfId="3048"/>
    <cellStyle name="Normal 3 2" xfId="3049"/>
    <cellStyle name="Normal 3 3" xfId="3050"/>
    <cellStyle name="Normal 3 3 2" xfId="3051"/>
    <cellStyle name="Normal 3_BOM Template" xfId="3052"/>
    <cellStyle name="Normal 30" xfId="3053"/>
    <cellStyle name="Normal 30 2" xfId="3054"/>
    <cellStyle name="Normal 31" xfId="3055"/>
    <cellStyle name="Normal 31 2" xfId="3056"/>
    <cellStyle name="Normal 32" xfId="3057"/>
    <cellStyle name="Normal 32 2" xfId="3058"/>
    <cellStyle name="Normal 33" xfId="3059"/>
    <cellStyle name="Normal 33 2" xfId="3060"/>
    <cellStyle name="Normal 34" xfId="3061"/>
    <cellStyle name="Normal 34 2" xfId="3062"/>
    <cellStyle name="Normal 35" xfId="3063"/>
    <cellStyle name="Normal 35 2" xfId="3064"/>
    <cellStyle name="Normal 36" xfId="3065"/>
    <cellStyle name="Normal 36 2" xfId="3066"/>
    <cellStyle name="Normal 37" xfId="3067"/>
    <cellStyle name="Normal 37 2" xfId="3068"/>
    <cellStyle name="Normal 38" xfId="3069"/>
    <cellStyle name="Normal 38 2" xfId="3070"/>
    <cellStyle name="Normal 39" xfId="3071"/>
    <cellStyle name="Normal 39 2" xfId="3072"/>
    <cellStyle name="Normal 4" xfId="3073"/>
    <cellStyle name="Normal 4 10" xfId="4201"/>
    <cellStyle name="Normal 4 11" xfId="4114"/>
    <cellStyle name="Normal 4 12" xfId="4216"/>
    <cellStyle name="Normal 4 13" xfId="3943"/>
    <cellStyle name="Normal 4 14" xfId="4299"/>
    <cellStyle name="Normal 4 15" xfId="4364"/>
    <cellStyle name="Normal 4 16" xfId="4585"/>
    <cellStyle name="Normal 4 17" xfId="4440"/>
    <cellStyle name="Normal 4 18" xfId="4606"/>
    <cellStyle name="Normal 4 19" xfId="5183"/>
    <cellStyle name="Normal 4 2" xfId="3074"/>
    <cellStyle name="Normal 4 2 2" xfId="3075"/>
    <cellStyle name="Normal 4 2 3" xfId="5123"/>
    <cellStyle name="Normal 4 2 4" xfId="4965"/>
    <cellStyle name="Normal 4 3" xfId="3076"/>
    <cellStyle name="Normal 4 3 2" xfId="5124"/>
    <cellStyle name="Normal 4 3 3" xfId="4964"/>
    <cellStyle name="Normal 4 4" xfId="4140"/>
    <cellStyle name="Normal 4 5" xfId="4379"/>
    <cellStyle name="Normal 4 6" xfId="3930"/>
    <cellStyle name="Normal 4 7" xfId="4384"/>
    <cellStyle name="Normal 4 8" xfId="4083"/>
    <cellStyle name="Normal 4 9" xfId="3902"/>
    <cellStyle name="Normal 4_ 2.1M" xfId="3077"/>
    <cellStyle name="Normal 40" xfId="3078"/>
    <cellStyle name="Normal 40 2" xfId="3079"/>
    <cellStyle name="Normal 41" xfId="3080"/>
    <cellStyle name="Normal 41 2" xfId="3081"/>
    <cellStyle name="Normal 42" xfId="3082"/>
    <cellStyle name="Normal 42 2" xfId="3083"/>
    <cellStyle name="Normal 43" xfId="3084"/>
    <cellStyle name="Normal 43 2" xfId="3085"/>
    <cellStyle name="Normal 44" xfId="3086"/>
    <cellStyle name="Normal 44 2" xfId="3087"/>
    <cellStyle name="Normal 45" xfId="3088"/>
    <cellStyle name="Normal 45 2" xfId="3089"/>
    <cellStyle name="Normal 46" xfId="3090"/>
    <cellStyle name="Normal 46 2" xfId="3091"/>
    <cellStyle name="Normal 47" xfId="3092"/>
    <cellStyle name="Normal 47 2" xfId="3093"/>
    <cellStyle name="Normal 48" xfId="3094"/>
    <cellStyle name="Normal 48 2" xfId="3095"/>
    <cellStyle name="Normal 49" xfId="3096"/>
    <cellStyle name="Normal 49 2" xfId="3097"/>
    <cellStyle name="Normal 5" xfId="3098"/>
    <cellStyle name="Normal 5 10" xfId="4202"/>
    <cellStyle name="Normal 5 11" xfId="4109"/>
    <cellStyle name="Normal 5 12" xfId="4217"/>
    <cellStyle name="Normal 5 13" xfId="3942"/>
    <cellStyle name="Normal 5 14" xfId="4350"/>
    <cellStyle name="Normal 5 15" xfId="4377"/>
    <cellStyle name="Normal 5 16" xfId="4587"/>
    <cellStyle name="Normal 5 17" xfId="4441"/>
    <cellStyle name="Normal 5 18" xfId="4607"/>
    <cellStyle name="Normal 5 19" xfId="5182"/>
    <cellStyle name="Normal 5 2" xfId="3099"/>
    <cellStyle name="Normal 5 2 2" xfId="3100"/>
    <cellStyle name="Normal 5 2 3" xfId="5125"/>
    <cellStyle name="Normal 5 2 4" xfId="4963"/>
    <cellStyle name="Normal 5 3" xfId="3101"/>
    <cellStyle name="Normal 5 3 2" xfId="5126"/>
    <cellStyle name="Normal 5 3 3" xfId="4962"/>
    <cellStyle name="Normal 5 4" xfId="4141"/>
    <cellStyle name="Normal 5 5" xfId="4380"/>
    <cellStyle name="Normal 5 6" xfId="3931"/>
    <cellStyle name="Normal 5 7" xfId="4385"/>
    <cellStyle name="Normal 5 8" xfId="4084"/>
    <cellStyle name="Normal 5 9" xfId="3900"/>
    <cellStyle name="Normal 5_ 2.1M" xfId="3102"/>
    <cellStyle name="Normal 50" xfId="3103"/>
    <cellStyle name="Normal 50 2" xfId="3104"/>
    <cellStyle name="Normal 51" xfId="3105"/>
    <cellStyle name="Normal 51 2" xfId="3106"/>
    <cellStyle name="Normal 52" xfId="3107"/>
    <cellStyle name="Normal 52 2" xfId="3108"/>
    <cellStyle name="Normal 53" xfId="3109"/>
    <cellStyle name="Normal 53 2" xfId="3110"/>
    <cellStyle name="Normal 54" xfId="3111"/>
    <cellStyle name="Normal 54 2" xfId="3112"/>
    <cellStyle name="Normal 55" xfId="3113"/>
    <cellStyle name="Normal 55 2" xfId="3114"/>
    <cellStyle name="Normal 56" xfId="3115"/>
    <cellStyle name="Normal 56 2" xfId="3116"/>
    <cellStyle name="Normal 57" xfId="3117"/>
    <cellStyle name="Normal 57 2" xfId="3118"/>
    <cellStyle name="Normal 58" xfId="3119"/>
    <cellStyle name="Normal 58 2" xfId="3120"/>
    <cellStyle name="Normal 59" xfId="3121"/>
    <cellStyle name="Normal 59 2" xfId="3122"/>
    <cellStyle name="Normal 6" xfId="3123"/>
    <cellStyle name="Normal 6 10" xfId="4203"/>
    <cellStyle name="Normal 6 11" xfId="4108"/>
    <cellStyle name="Normal 6 12" xfId="4218"/>
    <cellStyle name="Normal 6 13" xfId="3929"/>
    <cellStyle name="Normal 6 14" xfId="4570"/>
    <cellStyle name="Normal 6 15" xfId="4390"/>
    <cellStyle name="Normal 6 16" xfId="4597"/>
    <cellStyle name="Normal 6 17" xfId="4442"/>
    <cellStyle name="Normal 6 18" xfId="4614"/>
    <cellStyle name="Normal 6 19" xfId="5181"/>
    <cellStyle name="Normal 6 2" xfId="3124"/>
    <cellStyle name="Normal 6 2 2" xfId="3125"/>
    <cellStyle name="Normal 6 2 3" xfId="5127"/>
    <cellStyle name="Normal 6 2 4" xfId="4961"/>
    <cellStyle name="Normal 6 3" xfId="3126"/>
    <cellStyle name="Normal 6 3 2" xfId="5128"/>
    <cellStyle name="Normal 6 3 3" xfId="4960"/>
    <cellStyle name="Normal 6 4" xfId="4142"/>
    <cellStyle name="Normal 6 5" xfId="4381"/>
    <cellStyle name="Normal 6 6" xfId="3932"/>
    <cellStyle name="Normal 6 7" xfId="4386"/>
    <cellStyle name="Normal 6 8" xfId="4085"/>
    <cellStyle name="Normal 6 9" xfId="3897"/>
    <cellStyle name="Normal 6_ 2.1M" xfId="3127"/>
    <cellStyle name="Normal 60" xfId="3128"/>
    <cellStyle name="Normal 60 2" xfId="3129"/>
    <cellStyle name="Normal 61" xfId="3130"/>
    <cellStyle name="Normal 61 2" xfId="3131"/>
    <cellStyle name="Normal 62" xfId="3132"/>
    <cellStyle name="Normal 62 2" xfId="3133"/>
    <cellStyle name="Normal 63" xfId="3134"/>
    <cellStyle name="Normal 63 2" xfId="3135"/>
    <cellStyle name="Normal 64" xfId="3136"/>
    <cellStyle name="Normal 64 2" xfId="3137"/>
    <cellStyle name="Normal 65" xfId="3138"/>
    <cellStyle name="Normal 65 2" xfId="3139"/>
    <cellStyle name="Normal 66" xfId="3140"/>
    <cellStyle name="Normal 66 2" xfId="3141"/>
    <cellStyle name="Normal 67" xfId="3142"/>
    <cellStyle name="Normal 67 2" xfId="3143"/>
    <cellStyle name="Normal 68" xfId="3144"/>
    <cellStyle name="Normal 68 2" xfId="3145"/>
    <cellStyle name="Normal 69" xfId="3146"/>
    <cellStyle name="Normal 69 2" xfId="3147"/>
    <cellStyle name="Normal 7" xfId="3148"/>
    <cellStyle name="Normal 7 10" xfId="4204"/>
    <cellStyle name="Normal 7 11" xfId="4092"/>
    <cellStyle name="Normal 7 12" xfId="4219"/>
    <cellStyle name="Normal 7 13" xfId="3921"/>
    <cellStyle name="Normal 7 14" xfId="4571"/>
    <cellStyle name="Normal 7 15" xfId="4392"/>
    <cellStyle name="Normal 7 16" xfId="4598"/>
    <cellStyle name="Normal 7 17" xfId="4443"/>
    <cellStyle name="Normal 7 18" xfId="4616"/>
    <cellStyle name="Normal 7 19" xfId="5180"/>
    <cellStyle name="Normal 7 2" xfId="3149"/>
    <cellStyle name="Normal 7 2 2" xfId="3150"/>
    <cellStyle name="Normal 7 2 3" xfId="5129"/>
    <cellStyle name="Normal 7 2 4" xfId="4959"/>
    <cellStyle name="Normal 7 3" xfId="3151"/>
    <cellStyle name="Normal 7 3 2" xfId="5130"/>
    <cellStyle name="Normal 7 3 3" xfId="4958"/>
    <cellStyle name="Normal 7 4" xfId="4143"/>
    <cellStyle name="Normal 7 5" xfId="4382"/>
    <cellStyle name="Normal 7 6" xfId="3933"/>
    <cellStyle name="Normal 7 7" xfId="4387"/>
    <cellStyle name="Normal 7 8" xfId="4087"/>
    <cellStyle name="Normal 7 9" xfId="4360"/>
    <cellStyle name="Normal 7_ 2.1M" xfId="3152"/>
    <cellStyle name="Normal 70" xfId="3153"/>
    <cellStyle name="Normal 70 2" xfId="3154"/>
    <cellStyle name="Normal 71" xfId="3155"/>
    <cellStyle name="Normal 71 2" xfId="3156"/>
    <cellStyle name="Normal 72" xfId="3157"/>
    <cellStyle name="Normal 72 2" xfId="3158"/>
    <cellStyle name="Normal 73" xfId="3159"/>
    <cellStyle name="Normal 73 2" xfId="3160"/>
    <cellStyle name="Normal 74" xfId="3161"/>
    <cellStyle name="Normal 74 2" xfId="3162"/>
    <cellStyle name="Normal 75" xfId="3163"/>
    <cellStyle name="Normal 75 2" xfId="3164"/>
    <cellStyle name="Normal 76" xfId="3165"/>
    <cellStyle name="Normal 76 2" xfId="3166"/>
    <cellStyle name="Normal 77" xfId="3167"/>
    <cellStyle name="Normal 77 2" xfId="3168"/>
    <cellStyle name="Normal 78" xfId="3169"/>
    <cellStyle name="Normal 78 2" xfId="3170"/>
    <cellStyle name="Normal 79" xfId="3171"/>
    <cellStyle name="Normal 79 2" xfId="3172"/>
    <cellStyle name="Normal 8" xfId="3173"/>
    <cellStyle name="Normal 8 10" xfId="4205"/>
    <cellStyle name="Normal 8 11" xfId="4091"/>
    <cellStyle name="Normal 8 12" xfId="4220"/>
    <cellStyle name="Normal 8 13" xfId="3917"/>
    <cellStyle name="Normal 8 14" xfId="4572"/>
    <cellStyle name="Normal 8 15" xfId="4396"/>
    <cellStyle name="Normal 8 16" xfId="4600"/>
    <cellStyle name="Normal 8 17" xfId="4447"/>
    <cellStyle name="Normal 8 18" xfId="4617"/>
    <cellStyle name="Normal 8 19" xfId="5179"/>
    <cellStyle name="Normal 8 2" xfId="3174"/>
    <cellStyle name="Normal 8 2 2" xfId="3175"/>
    <cellStyle name="Normal 8 2 3" xfId="5131"/>
    <cellStyle name="Normal 8 2 4" xfId="4957"/>
    <cellStyle name="Normal 8 3" xfId="3176"/>
    <cellStyle name="Normal 8 3 2" xfId="5132"/>
    <cellStyle name="Normal 8 3 3" xfId="4956"/>
    <cellStyle name="Normal 8 4" xfId="4144"/>
    <cellStyle name="Normal 8 5" xfId="4383"/>
    <cellStyle name="Normal 8 6" xfId="3934"/>
    <cellStyle name="Normal 8 7" xfId="4388"/>
    <cellStyle name="Normal 8 8" xfId="4088"/>
    <cellStyle name="Normal 8 9" xfId="4362"/>
    <cellStyle name="Normal 8_ 2.1M" xfId="3177"/>
    <cellStyle name="Normal 80" xfId="3178"/>
    <cellStyle name="Normal 80 2" xfId="3179"/>
    <cellStyle name="Normal 81" xfId="3180"/>
    <cellStyle name="Normal 81 2" xfId="3181"/>
    <cellStyle name="Normal 82" xfId="3182"/>
    <cellStyle name="Normal 82 2" xfId="3183"/>
    <cellStyle name="Normal 83" xfId="3184"/>
    <cellStyle name="Normal 83 2" xfId="3185"/>
    <cellStyle name="Normal 84" xfId="3186"/>
    <cellStyle name="Normal 84 2" xfId="3187"/>
    <cellStyle name="Normal 85" xfId="3188"/>
    <cellStyle name="Normal 85 2" xfId="3189"/>
    <cellStyle name="Normal 86" xfId="3190"/>
    <cellStyle name="Normal 86 2" xfId="3191"/>
    <cellStyle name="Normal 87" xfId="3192"/>
    <cellStyle name="Normal 87 2" xfId="3193"/>
    <cellStyle name="Normal 88" xfId="3194"/>
    <cellStyle name="Normal 88 2" xfId="3195"/>
    <cellStyle name="Normal 89" xfId="3196"/>
    <cellStyle name="Normal 89 2" xfId="3197"/>
    <cellStyle name="Normal 9" xfId="3198"/>
    <cellStyle name="Normal 9 2" xfId="3199"/>
    <cellStyle name="Normal 9 2 2" xfId="3200"/>
    <cellStyle name="Normal 9 3" xfId="3201"/>
    <cellStyle name="Normal 9 3 2" xfId="3202"/>
    <cellStyle name="Normal 9 3 2 2" xfId="5134"/>
    <cellStyle name="Normal 9 3 2 3" xfId="4954"/>
    <cellStyle name="Normal 9 3 3" xfId="5133"/>
    <cellStyle name="Normal 9 3 4" xfId="4955"/>
    <cellStyle name="Normal 9 4" xfId="3203"/>
    <cellStyle name="Normal 9 4 2" xfId="5135"/>
    <cellStyle name="Normal 9 4 3" xfId="4953"/>
    <cellStyle name="Normal 9 5" xfId="3204"/>
    <cellStyle name="Normal 9 5 2" xfId="5136"/>
    <cellStyle name="Normal 9 5 3" xfId="4952"/>
    <cellStyle name="Normal 9 6" xfId="3205"/>
    <cellStyle name="Normal 9 6 2" xfId="5137"/>
    <cellStyle name="Normal 9 6 3" xfId="4951"/>
    <cellStyle name="Normal 9 7" xfId="3206"/>
    <cellStyle name="Normal 9 7 2" xfId="5138"/>
    <cellStyle name="Normal 9 7 3" xfId="4950"/>
    <cellStyle name="Normal 9 8" xfId="3207"/>
    <cellStyle name="Normal 9 8 2" xfId="5139"/>
    <cellStyle name="Normal 9 8 3" xfId="4949"/>
    <cellStyle name="Normal 9 9" xfId="3208"/>
    <cellStyle name="Normal 9 9 2" xfId="5140"/>
    <cellStyle name="Normal 9 9 3" xfId="4948"/>
    <cellStyle name="Normal 9_FM_Ford P625 2nd Row Dome Lamp_Quote customer breakdown_120415" xfId="3209"/>
    <cellStyle name="Normal 90" xfId="3210"/>
    <cellStyle name="Normal 90 2" xfId="3211"/>
    <cellStyle name="Normal 91" xfId="3212"/>
    <cellStyle name="Normal 91 2" xfId="3213"/>
    <cellStyle name="Normal 92" xfId="3214"/>
    <cellStyle name="Normal 92 2" xfId="3215"/>
    <cellStyle name="Normal 93" xfId="3216"/>
    <cellStyle name="Normal 93 2" xfId="3217"/>
    <cellStyle name="Normal 94" xfId="3218"/>
    <cellStyle name="Normal 94 2" xfId="3219"/>
    <cellStyle name="Normal 95" xfId="3220"/>
    <cellStyle name="Normal 95 2" xfId="3221"/>
    <cellStyle name="Normal 96" xfId="3222"/>
    <cellStyle name="Normal 96 2" xfId="3223"/>
    <cellStyle name="Normal 97" xfId="3224"/>
    <cellStyle name="Normal 97 2" xfId="3225"/>
    <cellStyle name="Normal 98" xfId="3226"/>
    <cellStyle name="Normal 98 2" xfId="3227"/>
    <cellStyle name="Normal 99" xfId="3228"/>
    <cellStyle name="Normal 99 2" xfId="3229"/>
    <cellStyle name="Normal_AAG Qt Calc_ISM_FM_Honda Dome Lamp" xfId="3230"/>
    <cellStyle name="Normal_FM PCB Master EBOM" xfId="3231"/>
    <cellStyle name="Normal_Qt Calc BMW ICL PCBA" xfId="3232"/>
    <cellStyle name="Normal_Ver 1 35UP" xfId="3233"/>
    <cellStyle name="Normale_HRE 2002 Stamping Definitivo senza formule_29_04_02" xfId="3234"/>
    <cellStyle name="Notas" xfId="3235"/>
    <cellStyle name="Note" xfId="3236"/>
    <cellStyle name="Note 10" xfId="3237"/>
    <cellStyle name="Note 10 2" xfId="3238"/>
    <cellStyle name="Note 11" xfId="3239"/>
    <cellStyle name="Note 11 2" xfId="3240"/>
    <cellStyle name="Note 12" xfId="3241"/>
    <cellStyle name="Note 12 2" xfId="3242"/>
    <cellStyle name="Note 13" xfId="3243"/>
    <cellStyle name="Note 13 2" xfId="3244"/>
    <cellStyle name="Note 14" xfId="3245"/>
    <cellStyle name="Note 14 2" xfId="3246"/>
    <cellStyle name="Note 15" xfId="3247"/>
    <cellStyle name="Note 15 2" xfId="3248"/>
    <cellStyle name="Note 16" xfId="3249"/>
    <cellStyle name="Note 16 2" xfId="3250"/>
    <cellStyle name="Note 17" xfId="3251"/>
    <cellStyle name="Note 17 2" xfId="3252"/>
    <cellStyle name="Note 18" xfId="3253"/>
    <cellStyle name="Note 18 2" xfId="3254"/>
    <cellStyle name="Note 19" xfId="3255"/>
    <cellStyle name="Note 19 2" xfId="3256"/>
    <cellStyle name="Note 2" xfId="3257"/>
    <cellStyle name="Note 2 2" xfId="3258"/>
    <cellStyle name="Note 2 2 2" xfId="3259"/>
    <cellStyle name="Note 2 3" xfId="3260"/>
    <cellStyle name="Note 2 3 2" xfId="3261"/>
    <cellStyle name="Note 2 4" xfId="3262"/>
    <cellStyle name="Note 2_U625 2nd Row 702K" xfId="3263"/>
    <cellStyle name="Note 20" xfId="3264"/>
    <cellStyle name="Note 20 2" xfId="3265"/>
    <cellStyle name="Note 21" xfId="3266"/>
    <cellStyle name="Note 21 2" xfId="3267"/>
    <cellStyle name="Note 22" xfId="3268"/>
    <cellStyle name="Note 22 2" xfId="3269"/>
    <cellStyle name="Note 23" xfId="3270"/>
    <cellStyle name="Note 23 2" xfId="3271"/>
    <cellStyle name="Note 24" xfId="3272"/>
    <cellStyle name="Note 24 2" xfId="3273"/>
    <cellStyle name="Note 25" xfId="3274"/>
    <cellStyle name="Note 25 2" xfId="3275"/>
    <cellStyle name="Note 26" xfId="3276"/>
    <cellStyle name="Note 26 2" xfId="3277"/>
    <cellStyle name="Note 27" xfId="3278"/>
    <cellStyle name="Note 27 2" xfId="3279"/>
    <cellStyle name="Note 27 3" xfId="3280"/>
    <cellStyle name="Note 27 4" xfId="3281"/>
    <cellStyle name="Note 27 5" xfId="3282"/>
    <cellStyle name="Note 27 6" xfId="3283"/>
    <cellStyle name="Note 28" xfId="3284"/>
    <cellStyle name="Note 29" xfId="3285"/>
    <cellStyle name="Note 3" xfId="3286"/>
    <cellStyle name="Note 3 2" xfId="3287"/>
    <cellStyle name="Note 30" xfId="3288"/>
    <cellStyle name="Note 31" xfId="3289"/>
    <cellStyle name="Note 32" xfId="4148"/>
    <cellStyle name="Note 32 2" xfId="5383"/>
    <cellStyle name="Note 32 3" xfId="5997"/>
    <cellStyle name="Note 33" xfId="4395"/>
    <cellStyle name="Note 33 2" xfId="5479"/>
    <cellStyle name="Note 33 3" xfId="6091"/>
    <cellStyle name="Note 34" xfId="3949"/>
    <cellStyle name="Note 34 2" xfId="5278"/>
    <cellStyle name="Note 34 3" xfId="5892"/>
    <cellStyle name="Note 35" xfId="4400"/>
    <cellStyle name="Note 35 2" xfId="5483"/>
    <cellStyle name="Note 35 3" xfId="6095"/>
    <cellStyle name="Note 36" xfId="4118"/>
    <cellStyle name="Note 36 2" xfId="5358"/>
    <cellStyle name="Note 36 3" xfId="5972"/>
    <cellStyle name="Note 37" xfId="4391"/>
    <cellStyle name="Note 37 2" xfId="5476"/>
    <cellStyle name="Note 37 3" xfId="6088"/>
    <cellStyle name="Note 38" xfId="4239"/>
    <cellStyle name="Note 38 2" xfId="5456"/>
    <cellStyle name="Note 38 3" xfId="6068"/>
    <cellStyle name="Note 39" xfId="3957"/>
    <cellStyle name="Note 39 2" xfId="5286"/>
    <cellStyle name="Note 39 3" xfId="5900"/>
    <cellStyle name="Note 4" xfId="3290"/>
    <cellStyle name="Note 4 2" xfId="3291"/>
    <cellStyle name="Note 40" xfId="4580"/>
    <cellStyle name="Note 40 2" xfId="5627"/>
    <cellStyle name="Note 40 3" xfId="6237"/>
    <cellStyle name="Note 41" xfId="4397"/>
    <cellStyle name="Note 41 2" xfId="5480"/>
    <cellStyle name="Note 41 3" xfId="6092"/>
    <cellStyle name="Note 42" xfId="4599"/>
    <cellStyle name="Note 42 2" xfId="5638"/>
    <cellStyle name="Note 42 3" xfId="6248"/>
    <cellStyle name="Note 43" xfId="4439"/>
    <cellStyle name="Note 43 2" xfId="5518"/>
    <cellStyle name="Note 43 3" xfId="6130"/>
    <cellStyle name="Note 44" xfId="4636"/>
    <cellStyle name="Note 44 2" xfId="5662"/>
    <cellStyle name="Note 44 3" xfId="6272"/>
    <cellStyle name="Note 45" xfId="4474"/>
    <cellStyle name="Note 45 2" xfId="5544"/>
    <cellStyle name="Note 45 3" xfId="6156"/>
    <cellStyle name="Note 46" xfId="4658"/>
    <cellStyle name="Note 47" xfId="5585"/>
    <cellStyle name="Note 5" xfId="3292"/>
    <cellStyle name="Note 5 2" xfId="3293"/>
    <cellStyle name="Note 6" xfId="3294"/>
    <cellStyle name="Note 6 2" xfId="3295"/>
    <cellStyle name="Note 7" xfId="3296"/>
    <cellStyle name="Note 7 2" xfId="3297"/>
    <cellStyle name="Note 8" xfId="3298"/>
    <cellStyle name="Note 8 2" xfId="3299"/>
    <cellStyle name="Note 9" xfId="3300"/>
    <cellStyle name="Note 9 2" xfId="3301"/>
    <cellStyle name="Notes" xfId="3302"/>
    <cellStyle name="Notes 2" xfId="3303"/>
    <cellStyle name="Notes 2 2" xfId="3304"/>
    <cellStyle name="Notes 2 2 2" xfId="3305"/>
    <cellStyle name="Notes 2 2 3" xfId="3306"/>
    <cellStyle name="Notes 2 2 4" xfId="3307"/>
    <cellStyle name="Notes 2 2 5" xfId="3308"/>
    <cellStyle name="Notes 2 2 6" xfId="3309"/>
    <cellStyle name="Notes 2 3" xfId="3310"/>
    <cellStyle name="Notes 2 4" xfId="3311"/>
    <cellStyle name="Notes 2 5" xfId="3312"/>
    <cellStyle name="Notes 2 6" xfId="3313"/>
    <cellStyle name="Notes 3" xfId="3314"/>
    <cellStyle name="Notes 4" xfId="3315"/>
    <cellStyle name="Notes 5" xfId="3316"/>
    <cellStyle name="Notes 6" xfId="3317"/>
    <cellStyle name="Notes 7" xfId="3318"/>
    <cellStyle name="Notiz" xfId="3319"/>
    <cellStyle name="Notiz 2" xfId="3320"/>
    <cellStyle name="Œ…‹æØ‚è [0.00]_!!!GO" xfId="3321"/>
    <cellStyle name="Œ…‹æØ‚è_!!!GO" xfId="3322"/>
    <cellStyle name="Option_Contents" xfId="3323"/>
    <cellStyle name="Output" xfId="3324"/>
    <cellStyle name="Output 10" xfId="3325"/>
    <cellStyle name="Output 11" xfId="3326"/>
    <cellStyle name="Output 12" xfId="3327"/>
    <cellStyle name="Output 13" xfId="3328"/>
    <cellStyle name="Output 14" xfId="3329"/>
    <cellStyle name="Output 15" xfId="3330"/>
    <cellStyle name="Output 16" xfId="3331"/>
    <cellStyle name="Output 17" xfId="3332"/>
    <cellStyle name="Output 18" xfId="3333"/>
    <cellStyle name="Output 19" xfId="3334"/>
    <cellStyle name="Output 2" xfId="3335"/>
    <cellStyle name="Output 2 2" xfId="3336"/>
    <cellStyle name="Output 2 3" xfId="3337"/>
    <cellStyle name="Output 2_U625 2nd Row 702K" xfId="3338"/>
    <cellStyle name="Output 20" xfId="3339"/>
    <cellStyle name="Output 21" xfId="3340"/>
    <cellStyle name="Output 22" xfId="3341"/>
    <cellStyle name="Output 23" xfId="3342"/>
    <cellStyle name="Output 24" xfId="3343"/>
    <cellStyle name="Output 25" xfId="3344"/>
    <cellStyle name="Output 26" xfId="3345"/>
    <cellStyle name="Output 27" xfId="3346"/>
    <cellStyle name="Output 27 2" xfId="3347"/>
    <cellStyle name="Output 27 3" xfId="3348"/>
    <cellStyle name="Output 27 4" xfId="3349"/>
    <cellStyle name="Output 27 5" xfId="3350"/>
    <cellStyle name="Output 27 6" xfId="3351"/>
    <cellStyle name="Output 28" xfId="3352"/>
    <cellStyle name="Output 29" xfId="3353"/>
    <cellStyle name="Output 3" xfId="3354"/>
    <cellStyle name="Output 30" xfId="3355"/>
    <cellStyle name="Output 31" xfId="3356"/>
    <cellStyle name="Output 32" xfId="4153"/>
    <cellStyle name="Output 32 2" xfId="5388"/>
    <cellStyle name="Output 32 3" xfId="6002"/>
    <cellStyle name="Output 33" xfId="4399"/>
    <cellStyle name="Output 33 2" xfId="5482"/>
    <cellStyle name="Output 33 3" xfId="6094"/>
    <cellStyle name="Output 34" xfId="3954"/>
    <cellStyle name="Output 34 2" xfId="5283"/>
    <cellStyle name="Output 34 3" xfId="5897"/>
    <cellStyle name="Output 35" xfId="4407"/>
    <cellStyle name="Output 35 2" xfId="5490"/>
    <cellStyle name="Output 35 3" xfId="6102"/>
    <cellStyle name="Output 36" xfId="4124"/>
    <cellStyle name="Output 36 2" xfId="5364"/>
    <cellStyle name="Output 36 3" xfId="5978"/>
    <cellStyle name="Output 37" xfId="4398"/>
    <cellStyle name="Output 37 2" xfId="5481"/>
    <cellStyle name="Output 37 3" xfId="6093"/>
    <cellStyle name="Output 38" xfId="4358"/>
    <cellStyle name="Output 38 2" xfId="5458"/>
    <cellStyle name="Output 38 3" xfId="6070"/>
    <cellStyle name="Output 39" xfId="3947"/>
    <cellStyle name="Output 39 2" xfId="5276"/>
    <cellStyle name="Output 39 3" xfId="5890"/>
    <cellStyle name="Output 4" xfId="3357"/>
    <cellStyle name="Output 40" xfId="4586"/>
    <cellStyle name="Output 40 2" xfId="5631"/>
    <cellStyle name="Output 40 3" xfId="6241"/>
    <cellStyle name="Output 41" xfId="4408"/>
    <cellStyle name="Output 41 2" xfId="5491"/>
    <cellStyle name="Output 41 3" xfId="6103"/>
    <cellStyle name="Output 42" xfId="4605"/>
    <cellStyle name="Output 42 2" xfId="5643"/>
    <cellStyle name="Output 42 3" xfId="6253"/>
    <cellStyle name="Output 43" xfId="4446"/>
    <cellStyle name="Output 43 2" xfId="5521"/>
    <cellStyle name="Output 43 3" xfId="6133"/>
    <cellStyle name="Output 44" xfId="4651"/>
    <cellStyle name="Output 44 2" xfId="5677"/>
    <cellStyle name="Output 44 3" xfId="6287"/>
    <cellStyle name="Output 45" xfId="4518"/>
    <cellStyle name="Output 45 2" xfId="5583"/>
    <cellStyle name="Output 45 3" xfId="6195"/>
    <cellStyle name="Output 46" xfId="4663"/>
    <cellStyle name="Output 47" xfId="5449"/>
    <cellStyle name="Output 5" xfId="3358"/>
    <cellStyle name="Output 6" xfId="3359"/>
    <cellStyle name="Output 7" xfId="3360"/>
    <cellStyle name="Output 8" xfId="3361"/>
    <cellStyle name="Output 9" xfId="3362"/>
    <cellStyle name="Pct w/ Pts" xfId="3363"/>
    <cellStyle name="Pct w/o Pts" xfId="3364"/>
    <cellStyle name="per.style" xfId="3365"/>
    <cellStyle name="Percent [0]" xfId="3366"/>
    <cellStyle name="Percent [0] 2" xfId="3367"/>
    <cellStyle name="Percent [0] 2 2" xfId="3368"/>
    <cellStyle name="Percent [0] 2 2 2" xfId="3369"/>
    <cellStyle name="Percent [0] 2 2 2 2" xfId="3370"/>
    <cellStyle name="Percent [0] 2 2 3" xfId="3371"/>
    <cellStyle name="Percent [0] 2 3" xfId="3372"/>
    <cellStyle name="Percent [0] 2 3 2" xfId="3373"/>
    <cellStyle name="Percent [0] 2 4" xfId="3374"/>
    <cellStyle name="Percent [0] 3" xfId="3375"/>
    <cellStyle name="Percent [00]" xfId="3376"/>
    <cellStyle name="Percent [00] 2" xfId="3377"/>
    <cellStyle name="Percent [00] 2 2" xfId="3378"/>
    <cellStyle name="Percent [00] 3" xfId="3379"/>
    <cellStyle name="Percent [00] 3 2" xfId="3380"/>
    <cellStyle name="Percent [00] 4" xfId="3381"/>
    <cellStyle name="Percent [00] 4 2" xfId="3382"/>
    <cellStyle name="Percent [00] 4 2 2" xfId="3383"/>
    <cellStyle name="Percent [00] 4 3" xfId="3384"/>
    <cellStyle name="Percent [00] 4 3 2" xfId="3385"/>
    <cellStyle name="Percent [00] 5" xfId="3386"/>
    <cellStyle name="Percent [00] 5 2" xfId="3387"/>
    <cellStyle name="Percent [00]_U625 2nd Row 702K" xfId="3388"/>
    <cellStyle name="Percent [2]" xfId="3389"/>
    <cellStyle name="Percent [2] 2" xfId="3390"/>
    <cellStyle name="Percent [2] 2 2" xfId="3391"/>
    <cellStyle name="Percent [2] 3" xfId="3392"/>
    <cellStyle name="Percent [2] 3 2" xfId="3393"/>
    <cellStyle name="Percent [2] 4" xfId="3394"/>
    <cellStyle name="Percent [2] 4 2" xfId="3395"/>
    <cellStyle name="Percent [2] 4 2 2" xfId="3396"/>
    <cellStyle name="Percent [2] 4 3" xfId="3397"/>
    <cellStyle name="Percent [2] 4 3 2" xfId="3398"/>
    <cellStyle name="Percent [2] 5" xfId="3399"/>
    <cellStyle name="Percent [2] 5 2" xfId="3400"/>
    <cellStyle name="Percent 2" xfId="3401"/>
    <cellStyle name="Percent 2 2" xfId="3402"/>
    <cellStyle name="Percent 3" xfId="3403"/>
    <cellStyle name="Percent 3 2" xfId="3404"/>
    <cellStyle name="Percent 4" xfId="3405"/>
    <cellStyle name="Percent 4 2" xfId="3406"/>
    <cellStyle name="Percent 5" xfId="3407"/>
    <cellStyle name="Percent 5 2" xfId="3408"/>
    <cellStyle name="Percent 5 2 2" xfId="3409"/>
    <cellStyle name="Percent 5 3" xfId="3410"/>
    <cellStyle name="Percent 5 3 2" xfId="3411"/>
    <cellStyle name="Percent 6" xfId="3412"/>
    <cellStyle name="Percent 6 2" xfId="3413"/>
    <cellStyle name="Percent 7" xfId="3414"/>
    <cellStyle name="Percent 7 2" xfId="3415"/>
    <cellStyle name="Percent w/o%" xfId="3416"/>
    <cellStyle name="Percent%" xfId="3417"/>
    <cellStyle name="Percent[0]" xfId="3418"/>
    <cellStyle name="Percent[2]" xfId="3419"/>
    <cellStyle name="PERCENTAGE" xfId="3420"/>
    <cellStyle name="Phone Text" xfId="3421"/>
    <cellStyle name="Plus/Minus 0" xfId="3422"/>
    <cellStyle name="Plus/Minus 0 2" xfId="3423"/>
    <cellStyle name="Plus/Minus 0 2 2" xfId="3424"/>
    <cellStyle name="Plus/Minus 0 2 2 2" xfId="3425"/>
    <cellStyle name="Plus/Minus 0 2 2 3" xfId="3426"/>
    <cellStyle name="Plus/Minus 0 2 2 4" xfId="3427"/>
    <cellStyle name="Plus/Minus 0 2 2 5" xfId="3428"/>
    <cellStyle name="Plus/Minus 0 2 2 6" xfId="3429"/>
    <cellStyle name="Plus/Minus 0 2 3" xfId="3430"/>
    <cellStyle name="Plus/Minus 0 2 4" xfId="3431"/>
    <cellStyle name="Plus/Minus 0 2 5" xfId="3432"/>
    <cellStyle name="Plus/Minus 0 2 6" xfId="3433"/>
    <cellStyle name="Plus/Minus 0 3" xfId="3434"/>
    <cellStyle name="Plus/Minus 0 4" xfId="3435"/>
    <cellStyle name="Plus/Minus 0 5" xfId="3436"/>
    <cellStyle name="Plus/Minus 0 6" xfId="3437"/>
    <cellStyle name="Plus/Minus 0 7" xfId="3438"/>
    <cellStyle name="Preliminary_Data" xfId="3439"/>
    <cellStyle name="PrePop Currency (0)" xfId="3440"/>
    <cellStyle name="PrePop Currency (0) 2" xfId="3441"/>
    <cellStyle name="PrePop Currency (0) 2 2" xfId="3442"/>
    <cellStyle name="PrePop Currency (0) 3" xfId="3443"/>
    <cellStyle name="PrePop Currency (0) 3 2" xfId="3444"/>
    <cellStyle name="PrePop Currency (0) 4" xfId="3445"/>
    <cellStyle name="PrePop Currency (0) 4 2" xfId="3446"/>
    <cellStyle name="PrePop Currency (0) 4 2 2" xfId="3447"/>
    <cellStyle name="PrePop Currency (0) 4 3" xfId="3448"/>
    <cellStyle name="PrePop Currency (0) 4 3 2" xfId="3449"/>
    <cellStyle name="PrePop Currency (0) 5" xfId="3450"/>
    <cellStyle name="PrePop Currency (0) 5 2" xfId="3451"/>
    <cellStyle name="PrePop Currency (0)_U625 2nd Row 702K" xfId="3452"/>
    <cellStyle name="PrePop Currency (2)" xfId="3453"/>
    <cellStyle name="PrePop Currency (2) 2" xfId="3454"/>
    <cellStyle name="PrePop Currency (2) 2 2" xfId="3455"/>
    <cellStyle name="PrePop Currency (2) 2 2 2" xfId="3456"/>
    <cellStyle name="PrePop Currency (2) 2 2 2 2" xfId="3457"/>
    <cellStyle name="PrePop Currency (2) 2 2 3" xfId="3458"/>
    <cellStyle name="PrePop Currency (2) 2 3" xfId="3459"/>
    <cellStyle name="PrePop Currency (2) 2 3 2" xfId="3460"/>
    <cellStyle name="PrePop Currency (2) 2 4" xfId="3461"/>
    <cellStyle name="PrePop Currency (2) 3" xfId="3462"/>
    <cellStyle name="PrePop Currency (2)_Def" xfId="3463"/>
    <cellStyle name="PrePop Units (0)" xfId="3464"/>
    <cellStyle name="PrePop Units (0) 2" xfId="3465"/>
    <cellStyle name="PrePop Units (0) 2 2" xfId="3466"/>
    <cellStyle name="PrePop Units (0) 3" xfId="3467"/>
    <cellStyle name="PrePop Units (0) 3 2" xfId="3468"/>
    <cellStyle name="PrePop Units (0) 4" xfId="3469"/>
    <cellStyle name="PrePop Units (0) 4 2" xfId="3470"/>
    <cellStyle name="PrePop Units (0) 4 2 2" xfId="3471"/>
    <cellStyle name="PrePop Units (0) 4 3" xfId="3472"/>
    <cellStyle name="PrePop Units (0) 4 3 2" xfId="3473"/>
    <cellStyle name="PrePop Units (0) 5" xfId="3474"/>
    <cellStyle name="PrePop Units (0) 5 2" xfId="3475"/>
    <cellStyle name="PrePop Units (0)_U625 2nd Row 702K" xfId="3476"/>
    <cellStyle name="PrePop Units (1)" xfId="3477"/>
    <cellStyle name="PrePop Units (1) 2" xfId="3478"/>
    <cellStyle name="PrePop Units (1) 2 2" xfId="3479"/>
    <cellStyle name="PrePop Units (1) 2 2 2" xfId="3480"/>
    <cellStyle name="PrePop Units (1) 2 2 2 2" xfId="3481"/>
    <cellStyle name="PrePop Units (1) 2 2 3" xfId="3482"/>
    <cellStyle name="PrePop Units (1) 2 3" xfId="3483"/>
    <cellStyle name="PrePop Units (1) 2 3 2" xfId="3484"/>
    <cellStyle name="PrePop Units (1) 2 4" xfId="3485"/>
    <cellStyle name="PrePop Units (1) 3" xfId="3486"/>
    <cellStyle name="PrePop Units (1)_Def" xfId="3487"/>
    <cellStyle name="PrePop Units (2)" xfId="3488"/>
    <cellStyle name="PrePop Units (2) 2" xfId="3489"/>
    <cellStyle name="PrePop Units (2) 2 2" xfId="3490"/>
    <cellStyle name="PrePop Units (2) 2 2 2" xfId="3491"/>
    <cellStyle name="PrePop Units (2) 2 2 2 2" xfId="3492"/>
    <cellStyle name="PrePop Units (2) 2 2 3" xfId="3493"/>
    <cellStyle name="PrePop Units (2) 2 3" xfId="3494"/>
    <cellStyle name="PrePop Units (2) 2 3 2" xfId="3495"/>
    <cellStyle name="PrePop Units (2) 2 4" xfId="3496"/>
    <cellStyle name="PrePop Units (2) 3" xfId="3497"/>
    <cellStyle name="PrePop Units (2)_Def" xfId="3498"/>
    <cellStyle name="Prices_Data" xfId="3499"/>
    <cellStyle name="PSChar" xfId="3500"/>
    <cellStyle name="PSChar 2" xfId="3501"/>
    <cellStyle name="PSChar 2 2" xfId="3502"/>
    <cellStyle name="PSChar 2 2 2" xfId="3503"/>
    <cellStyle name="PSChar 2 2 2 2" xfId="3504"/>
    <cellStyle name="PSChar 2 2 3" xfId="3505"/>
    <cellStyle name="PSChar 2 3" xfId="3506"/>
    <cellStyle name="PSChar 2 3 2" xfId="3507"/>
    <cellStyle name="PSChar 2 4" xfId="3508"/>
    <cellStyle name="PSDate" xfId="3509"/>
    <cellStyle name="PSDate 2" xfId="3510"/>
    <cellStyle name="PSDate 2 2" xfId="3511"/>
    <cellStyle name="PSDate 2 2 2" xfId="3512"/>
    <cellStyle name="PSDate 2 2 2 2" xfId="3513"/>
    <cellStyle name="PSDate 2 2 3" xfId="3514"/>
    <cellStyle name="PSDate 2 3" xfId="3515"/>
    <cellStyle name="PSDate 2 3 2" xfId="3516"/>
    <cellStyle name="PSDate 2 4" xfId="3517"/>
    <cellStyle name="PSDec" xfId="3518"/>
    <cellStyle name="PSDec 2" xfId="3519"/>
    <cellStyle name="PSDec 2 2" xfId="3520"/>
    <cellStyle name="PSDec 2 2 2" xfId="3521"/>
    <cellStyle name="PSDec 2 2 2 2" xfId="3522"/>
    <cellStyle name="PSDec 2 2 3" xfId="3523"/>
    <cellStyle name="PSDec 2 3" xfId="3524"/>
    <cellStyle name="PSDec 2 3 2" xfId="3525"/>
    <cellStyle name="PSDec 2 4" xfId="3526"/>
    <cellStyle name="PSHeading" xfId="3527"/>
    <cellStyle name="PSHeading 2" xfId="3528"/>
    <cellStyle name="PSHeading 2 2" xfId="3529"/>
    <cellStyle name="PSHeading 2 2 2" xfId="3530"/>
    <cellStyle name="PSHeading 2 2 2 2" xfId="3531"/>
    <cellStyle name="PSHeading 2 2 3" xfId="3532"/>
    <cellStyle name="PSHeading 2 3" xfId="3533"/>
    <cellStyle name="PSHeading 2 3 2" xfId="3534"/>
    <cellStyle name="PSHeading 2 4" xfId="3535"/>
    <cellStyle name="PSHeading_Def" xfId="3536"/>
    <cellStyle name="PSInt" xfId="3537"/>
    <cellStyle name="PSInt 2" xfId="3538"/>
    <cellStyle name="PSInt 2 2" xfId="3539"/>
    <cellStyle name="PSInt 2 2 2" xfId="3540"/>
    <cellStyle name="PSInt 2 2 2 2" xfId="3541"/>
    <cellStyle name="PSInt 2 2 3" xfId="3542"/>
    <cellStyle name="PSInt 2 3" xfId="3543"/>
    <cellStyle name="PSInt 2 3 2" xfId="3544"/>
    <cellStyle name="PSInt 2 4" xfId="3545"/>
    <cellStyle name="PSSpacer" xfId="3546"/>
    <cellStyle name="PSSpacer 2" xfId="3547"/>
    <cellStyle name="PSSpacer 2 2" xfId="3548"/>
    <cellStyle name="PSSpacer 2 2 2" xfId="3549"/>
    <cellStyle name="PSSpacer 2 2 2 2" xfId="3550"/>
    <cellStyle name="PSSpacer 2 2 3" xfId="3551"/>
    <cellStyle name="PSSpacer 2 3" xfId="3552"/>
    <cellStyle name="PSSpacer 2 3 2" xfId="3553"/>
    <cellStyle name="PSSpacer 2 4" xfId="3554"/>
    <cellStyle name="Rand gesamt" xfId="3555"/>
    <cellStyle name="Rand links" xfId="3556"/>
    <cellStyle name="Rand oben" xfId="3557"/>
    <cellStyle name="Rand rechts" xfId="3558"/>
    <cellStyle name="Rand unten" xfId="3559"/>
    <cellStyle name="Salida" xfId="3560"/>
    <cellStyle name="SAPBEXaggData" xfId="3561"/>
    <cellStyle name="SAPBEXaggDataEmph" xfId="3562"/>
    <cellStyle name="SAPBEXaggItem" xfId="3563"/>
    <cellStyle name="SAPBEXaggItemX" xfId="3564"/>
    <cellStyle name="SAPBEXchaText" xfId="3565"/>
    <cellStyle name="SAPBEXexcBad7" xfId="3566"/>
    <cellStyle name="SAPBEXexcBad8" xfId="3567"/>
    <cellStyle name="SAPBEXexcBad9" xfId="3568"/>
    <cellStyle name="SAPBEXexcCritical4" xfId="3569"/>
    <cellStyle name="SAPBEXexcCritical5" xfId="3570"/>
    <cellStyle name="SAPBEXexcCritical6" xfId="3571"/>
    <cellStyle name="SAPBEXexcGood1" xfId="3572"/>
    <cellStyle name="SAPBEXexcGood2" xfId="3573"/>
    <cellStyle name="SAPBEXexcGood3" xfId="3574"/>
    <cellStyle name="SAPBEXfilterDrill" xfId="3575"/>
    <cellStyle name="SAPBEXfilterItem" xfId="3576"/>
    <cellStyle name="SAPBEXfilterText" xfId="3577"/>
    <cellStyle name="SAPBEXformats" xfId="3578"/>
    <cellStyle name="SAPBEXheaderItem" xfId="3579"/>
    <cellStyle name="SAPBEXheaderText" xfId="3580"/>
    <cellStyle name="SAPBEXHLevel0" xfId="3581"/>
    <cellStyle name="SAPBEXHLevel0X" xfId="3582"/>
    <cellStyle name="SAPBEXHLevel1" xfId="3583"/>
    <cellStyle name="SAPBEXHLevel1X" xfId="3584"/>
    <cellStyle name="SAPBEXHLevel2" xfId="3585"/>
    <cellStyle name="SAPBEXHLevel2X" xfId="3586"/>
    <cellStyle name="SAPBEXHLevel3" xfId="3587"/>
    <cellStyle name="SAPBEXHLevel3X" xfId="3588"/>
    <cellStyle name="SAPBEXresData" xfId="3589"/>
    <cellStyle name="SAPBEXresDataEmph" xfId="3590"/>
    <cellStyle name="SAPBEXresItem" xfId="3591"/>
    <cellStyle name="SAPBEXresItemX" xfId="3592"/>
    <cellStyle name="SAPBEXstdData" xfId="3593"/>
    <cellStyle name="SAPBEXstdDataEmph" xfId="3594"/>
    <cellStyle name="SAPBEXstdItem" xfId="3595"/>
    <cellStyle name="SAPBEXstdItemX" xfId="3596"/>
    <cellStyle name="SAPBEXtitle" xfId="3597"/>
    <cellStyle name="SAPBEXundefined" xfId="3598"/>
    <cellStyle name="SAPError" xfId="3599"/>
    <cellStyle name="SAPKey" xfId="3600"/>
    <cellStyle name="SAPLocked" xfId="3601"/>
    <cellStyle name="SAPOutput" xfId="3602"/>
    <cellStyle name="SAPSpace" xfId="3603"/>
    <cellStyle name="SAPText" xfId="3604"/>
    <cellStyle name="SAPUnLocked" xfId="3605"/>
    <cellStyle name="Schlecht" xfId="3606"/>
    <cellStyle name="Schraffiert" xfId="3607"/>
    <cellStyle name="sd" xfId="3608"/>
    <cellStyle name="sd 2" xfId="3609"/>
    <cellStyle name="sd 2 2" xfId="3610"/>
    <cellStyle name="sd 2 2 2" xfId="3611"/>
    <cellStyle name="sd 2 2 3" xfId="3612"/>
    <cellStyle name="sd 2 2 4" xfId="3613"/>
    <cellStyle name="sd 2 2 5" xfId="3614"/>
    <cellStyle name="sd 2 2 6" xfId="3615"/>
    <cellStyle name="sd 2 3" xfId="3616"/>
    <cellStyle name="sd 2 4" xfId="3617"/>
    <cellStyle name="sd 2 5" xfId="3618"/>
    <cellStyle name="sd 2 6" xfId="3619"/>
    <cellStyle name="sd 3" xfId="3620"/>
    <cellStyle name="sd 4" xfId="3621"/>
    <cellStyle name="sd 5" xfId="3622"/>
    <cellStyle name="sd 6" xfId="3623"/>
    <cellStyle name="sd 7" xfId="3624"/>
    <cellStyle name="SEM-BPS-data" xfId="3625"/>
    <cellStyle name="SEM-BPS-head" xfId="3626"/>
    <cellStyle name="SEM-BPS-headdata" xfId="3627"/>
    <cellStyle name="SEM-BPS-headkey" xfId="3628"/>
    <cellStyle name="SEM-BPS-input-on" xfId="3629"/>
    <cellStyle name="SEM-BPS-key" xfId="3630"/>
    <cellStyle name="SEM-BPS-sub1" xfId="3631"/>
    <cellStyle name="SEM-BPS-sub2" xfId="3632"/>
    <cellStyle name="SEM-BPS-total" xfId="3633"/>
    <cellStyle name="Separador de milhares [0]_Person" xfId="3634"/>
    <cellStyle name="Separador de milhares_Person" xfId="3635"/>
    <cellStyle name="shade" xfId="3636"/>
    <cellStyle name="smaller" xfId="3637"/>
    <cellStyle name="smaller 2" xfId="3638"/>
    <cellStyle name="STANDARD" xfId="3639"/>
    <cellStyle name="STANDARD 2" xfId="3640"/>
    <cellStyle name="STANDARD 2 2" xfId="3641"/>
    <cellStyle name="STANDARD 2 2 2" xfId="3642"/>
    <cellStyle name="STANDARD 2 2 2 2" xfId="3643"/>
    <cellStyle name="STANDARD 2 2 3" xfId="3644"/>
    <cellStyle name="STANDARD 2 3" xfId="3645"/>
    <cellStyle name="STANDARD 2 3 2" xfId="3646"/>
    <cellStyle name="STANDARD 2 4" xfId="3647"/>
    <cellStyle name="STANDARD 3" xfId="3648"/>
    <cellStyle name="STANDARD_Def" xfId="3649"/>
    <cellStyle name="Stil 1" xfId="3650"/>
    <cellStyle name="Stil 1 10" xfId="4158"/>
    <cellStyle name="Stil 1 11" xfId="4494"/>
    <cellStyle name="Stil 1 12" xfId="4569"/>
    <cellStyle name="Stil 1 13" xfId="4510"/>
    <cellStyle name="Stil 1 14" xfId="4662"/>
    <cellStyle name="Stil 1 15" xfId="4499"/>
    <cellStyle name="Stil 1 16" xfId="4701"/>
    <cellStyle name="Stil 1 17" xfId="4566"/>
    <cellStyle name="Stil 1 18" xfId="4730"/>
    <cellStyle name="Stil 1 19" xfId="4774"/>
    <cellStyle name="Stil 1 2" xfId="3651"/>
    <cellStyle name="Stil 1 20" xfId="4793"/>
    <cellStyle name="Stil 1 21" xfId="4829"/>
    <cellStyle name="Stil 1 22" xfId="4851"/>
    <cellStyle name="Stil 1 23" xfId="5175"/>
    <cellStyle name="Stil 1 3" xfId="3652"/>
    <cellStyle name="Stil 1 4" xfId="3653"/>
    <cellStyle name="Stil 1 5" xfId="3654"/>
    <cellStyle name="Stil 1 6" xfId="3655"/>
    <cellStyle name="Stil 1 7" xfId="3656"/>
    <cellStyle name="Stil 1 8" xfId="4225"/>
    <cellStyle name="Stil 1 9" xfId="4463"/>
    <cellStyle name="Stil 1_ 2.1M" xfId="3657"/>
    <cellStyle name="Style 1" xfId="3658"/>
    <cellStyle name="Style 1 2" xfId="3659"/>
    <cellStyle name="Style 1 3" xfId="3660"/>
    <cellStyle name="subhead" xfId="3661"/>
    <cellStyle name="test1" xfId="3662"/>
    <cellStyle name="Text" xfId="3663"/>
    <cellStyle name="Text Indent A" xfId="3664"/>
    <cellStyle name="Text Indent B" xfId="3665"/>
    <cellStyle name="Text Indent B 2" xfId="3666"/>
    <cellStyle name="Text Indent B 2 2" xfId="3667"/>
    <cellStyle name="Text Indent B 2 2 2" xfId="3668"/>
    <cellStyle name="Text Indent B 2 2 2 2" xfId="3669"/>
    <cellStyle name="Text Indent B 2 2 3" xfId="3670"/>
    <cellStyle name="Text Indent B 2 3" xfId="3671"/>
    <cellStyle name="Text Indent B 2 3 2" xfId="3672"/>
    <cellStyle name="Text Indent B 2 4" xfId="3673"/>
    <cellStyle name="Text Indent B 3" xfId="3674"/>
    <cellStyle name="Text Indent B_Def" xfId="3675"/>
    <cellStyle name="Text Indent C" xfId="3676"/>
    <cellStyle name="Text Indent C 2" xfId="3677"/>
    <cellStyle name="Text Indent C 2 2" xfId="3678"/>
    <cellStyle name="Text Indent C 2 2 2" xfId="3679"/>
    <cellStyle name="Text Indent C 2 2 2 2" xfId="3680"/>
    <cellStyle name="Text Indent C 2 2 3" xfId="3681"/>
    <cellStyle name="Text Indent C 2 3" xfId="3682"/>
    <cellStyle name="Text Indent C 2 3 2" xfId="3683"/>
    <cellStyle name="Text Indent C 2 4" xfId="3684"/>
    <cellStyle name="Text Indent C 3" xfId="3685"/>
    <cellStyle name="Text Indent C_Def" xfId="3686"/>
    <cellStyle name="Texto de advertencia" xfId="3687"/>
    <cellStyle name="Texto explicativo" xfId="3688"/>
    <cellStyle name="þ_x001d_ð'&amp;Oy?Hy9_x0008__x000f__x0007_æ_x0007__x0007__x0001__x0001_" xfId="4230"/>
    <cellStyle name="Title" xfId="3689"/>
    <cellStyle name="Title 10" xfId="3690"/>
    <cellStyle name="Title 11" xfId="3691"/>
    <cellStyle name="Title 12" xfId="3692"/>
    <cellStyle name="Title 13" xfId="3693"/>
    <cellStyle name="Title 14" xfId="3694"/>
    <cellStyle name="Title 15" xfId="3695"/>
    <cellStyle name="Title 16" xfId="3696"/>
    <cellStyle name="Title 17" xfId="3697"/>
    <cellStyle name="Title 18" xfId="3698"/>
    <cellStyle name="Title 19" xfId="3699"/>
    <cellStyle name="Title 2" xfId="3700"/>
    <cellStyle name="Title 2 10" xfId="4232"/>
    <cellStyle name="Title 2 11" xfId="4467"/>
    <cellStyle name="Title 2 12" xfId="4163"/>
    <cellStyle name="Title 2 13" xfId="4501"/>
    <cellStyle name="Title 2 14" xfId="4575"/>
    <cellStyle name="Title 2 15" xfId="4520"/>
    <cellStyle name="Title 2 16" xfId="4670"/>
    <cellStyle name="Title 2 17" xfId="4508"/>
    <cellStyle name="Title 2 18" xfId="4705"/>
    <cellStyle name="Title 2 19" xfId="4624"/>
    <cellStyle name="Title 2 2" xfId="3701"/>
    <cellStyle name="Title 2 2 2" xfId="5177"/>
    <cellStyle name="Title 2 2 2 2" xfId="5178"/>
    <cellStyle name="Title 2 2 2 3" xfId="5433"/>
    <cellStyle name="Title 2 2 3" xfId="4920"/>
    <cellStyle name="Title 2 20" xfId="4732"/>
    <cellStyle name="Title 2 21" xfId="4779"/>
    <cellStyle name="Title 2 22" xfId="4795"/>
    <cellStyle name="Title 2 23" xfId="4831"/>
    <cellStyle name="Title 2 24" xfId="4854"/>
    <cellStyle name="Title 2 25" xfId="4816"/>
    <cellStyle name="Title 2 3" xfId="3702"/>
    <cellStyle name="Title 2 4" xfId="3703"/>
    <cellStyle name="Title 2 5" xfId="3704"/>
    <cellStyle name="Title 2 6" xfId="3705"/>
    <cellStyle name="Title 2 7" xfId="3706"/>
    <cellStyle name="Title 2 8" xfId="3707"/>
    <cellStyle name="Title 2 9" xfId="3708"/>
    <cellStyle name="Title 2_ 2.1M" xfId="3709"/>
    <cellStyle name="Title 20" xfId="3710"/>
    <cellStyle name="Title 21" xfId="3711"/>
    <cellStyle name="Title 22" xfId="3712"/>
    <cellStyle name="Title 23" xfId="3713"/>
    <cellStyle name="Title 24" xfId="3714"/>
    <cellStyle name="Title 25" xfId="3715"/>
    <cellStyle name="Title 26" xfId="3716"/>
    <cellStyle name="Title 27" xfId="3717"/>
    <cellStyle name="Title 27 2" xfId="3718"/>
    <cellStyle name="Title 27 3" xfId="3719"/>
    <cellStyle name="Title 27 4" xfId="3720"/>
    <cellStyle name="Title 27 5" xfId="3721"/>
    <cellStyle name="Title 27 6" xfId="3722"/>
    <cellStyle name="Title 28" xfId="3723"/>
    <cellStyle name="Title 29" xfId="3724"/>
    <cellStyle name="Title 3" xfId="3725"/>
    <cellStyle name="Title 3 2" xfId="5176"/>
    <cellStyle name="Title 3 2 2" xfId="5185"/>
    <cellStyle name="Title 3 2 3" xfId="5619"/>
    <cellStyle name="Title 3 3" xfId="4922"/>
    <cellStyle name="Title 30" xfId="3726"/>
    <cellStyle name="Title 31" xfId="3727"/>
    <cellStyle name="Title 32" xfId="4231"/>
    <cellStyle name="Title 32 2" xfId="5448"/>
    <cellStyle name="Title 32 3" xfId="6061"/>
    <cellStyle name="Title 33" xfId="4466"/>
    <cellStyle name="Title 33 2" xfId="5537"/>
    <cellStyle name="Title 33 3" xfId="6149"/>
    <cellStyle name="Title 34" xfId="4162"/>
    <cellStyle name="Title 34 2" xfId="5396"/>
    <cellStyle name="Title 34 3" xfId="6010"/>
    <cellStyle name="Title 35" xfId="4500"/>
    <cellStyle name="Title 35 2" xfId="5568"/>
    <cellStyle name="Title 35 3" xfId="6180"/>
    <cellStyle name="Title 36" xfId="4574"/>
    <cellStyle name="Title 36 2" xfId="5622"/>
    <cellStyle name="Title 36 3" xfId="6232"/>
    <cellStyle name="Title 37" xfId="4519"/>
    <cellStyle name="Title 37 2" xfId="5584"/>
    <cellStyle name="Title 37 3" xfId="6196"/>
    <cellStyle name="Title 38" xfId="4669"/>
    <cellStyle name="Title 38 2" xfId="5687"/>
    <cellStyle name="Title 38 3" xfId="6297"/>
    <cellStyle name="Title 39" xfId="4507"/>
    <cellStyle name="Title 39 2" xfId="5574"/>
    <cellStyle name="Title 39 3" xfId="6186"/>
    <cellStyle name="Title 4" xfId="3728"/>
    <cellStyle name="Title 40" xfId="4704"/>
    <cellStyle name="Title 40 2" xfId="5714"/>
    <cellStyle name="Title 40 3" xfId="6324"/>
    <cellStyle name="Title 41" xfId="4623"/>
    <cellStyle name="Title 41 2" xfId="5652"/>
    <cellStyle name="Title 41 3" xfId="6262"/>
    <cellStyle name="Title 42" xfId="4731"/>
    <cellStyle name="Title 42 2" xfId="5739"/>
    <cellStyle name="Title 42 3" xfId="6349"/>
    <cellStyle name="Title 43" xfId="4778"/>
    <cellStyle name="Title 43 2" xfId="5772"/>
    <cellStyle name="Title 43 3" xfId="6382"/>
    <cellStyle name="Title 44" xfId="4794"/>
    <cellStyle name="Title 44 2" xfId="5784"/>
    <cellStyle name="Title 44 3" xfId="6394"/>
    <cellStyle name="Title 45" xfId="4830"/>
    <cellStyle name="Title 45 2" xfId="5804"/>
    <cellStyle name="Title 45 3" xfId="6414"/>
    <cellStyle name="Title 46" xfId="4852"/>
    <cellStyle name="Title 47" xfId="4850"/>
    <cellStyle name="Title 5" xfId="3729"/>
    <cellStyle name="Title 6" xfId="3730"/>
    <cellStyle name="Title 7" xfId="3731"/>
    <cellStyle name="Title 8" xfId="3732"/>
    <cellStyle name="Title 9" xfId="3733"/>
    <cellStyle name="Título" xfId="3734"/>
    <cellStyle name="Título 1" xfId="3735"/>
    <cellStyle name="Título 2" xfId="3736"/>
    <cellStyle name="Título 3" xfId="3737"/>
    <cellStyle name="Total" xfId="3738"/>
    <cellStyle name="Total 10" xfId="3739"/>
    <cellStyle name="Total 11" xfId="3740"/>
    <cellStyle name="Total 12" xfId="3741"/>
    <cellStyle name="Total 13" xfId="3742"/>
    <cellStyle name="Total 14" xfId="3743"/>
    <cellStyle name="Total 15" xfId="3744"/>
    <cellStyle name="Total 16" xfId="3745"/>
    <cellStyle name="Total 17" xfId="3746"/>
    <cellStyle name="Total 18" xfId="3747"/>
    <cellStyle name="Total 19" xfId="3748"/>
    <cellStyle name="Total 2" xfId="3749"/>
    <cellStyle name="Total 2 2" xfId="3750"/>
    <cellStyle name="Total 2 3" xfId="3751"/>
    <cellStyle name="Total 2_U625 2nd Row 702K" xfId="3752"/>
    <cellStyle name="Total 20" xfId="3753"/>
    <cellStyle name="Total 21" xfId="3754"/>
    <cellStyle name="Total 22" xfId="3755"/>
    <cellStyle name="Total 23" xfId="3756"/>
    <cellStyle name="Total 24" xfId="3757"/>
    <cellStyle name="Total 25" xfId="3758"/>
    <cellStyle name="Total 26" xfId="3759"/>
    <cellStyle name="Total 27" xfId="3760"/>
    <cellStyle name="Total 27 2" xfId="3761"/>
    <cellStyle name="Total 27 3" xfId="3762"/>
    <cellStyle name="Total 27 4" xfId="3763"/>
    <cellStyle name="Total 27 5" xfId="3764"/>
    <cellStyle name="Total 27 6" xfId="3765"/>
    <cellStyle name="Total 28" xfId="3766"/>
    <cellStyle name="Total 29" xfId="3767"/>
    <cellStyle name="Total 3" xfId="3768"/>
    <cellStyle name="Total 30" xfId="3769"/>
    <cellStyle name="Total 31" xfId="3770"/>
    <cellStyle name="Total 32" xfId="4233"/>
    <cellStyle name="Total 32 2" xfId="5450"/>
    <cellStyle name="Total 32 3" xfId="6062"/>
    <cellStyle name="Total 33" xfId="4468"/>
    <cellStyle name="Total 33 2" xfId="5538"/>
    <cellStyle name="Total 33 3" xfId="6150"/>
    <cellStyle name="Total 34" xfId="4164"/>
    <cellStyle name="Total 34 2" xfId="5397"/>
    <cellStyle name="Total 34 3" xfId="6011"/>
    <cellStyle name="Total 35" xfId="4502"/>
    <cellStyle name="Total 35 2" xfId="5569"/>
    <cellStyle name="Total 35 3" xfId="6181"/>
    <cellStyle name="Total 36" xfId="4576"/>
    <cellStyle name="Total 36 2" xfId="5623"/>
    <cellStyle name="Total 36 3" xfId="6233"/>
    <cellStyle name="Total 37" xfId="4521"/>
    <cellStyle name="Total 37 2" xfId="5586"/>
    <cellStyle name="Total 37 3" xfId="6197"/>
    <cellStyle name="Total 38" xfId="4671"/>
    <cellStyle name="Total 38 2" xfId="5688"/>
    <cellStyle name="Total 38 3" xfId="6298"/>
    <cellStyle name="Total 39" xfId="4509"/>
    <cellStyle name="Total 39 2" xfId="5575"/>
    <cellStyle name="Total 39 3" xfId="6187"/>
    <cellStyle name="Total 4" xfId="3771"/>
    <cellStyle name="Total 40" xfId="4706"/>
    <cellStyle name="Total 40 2" xfId="5715"/>
    <cellStyle name="Total 40 3" xfId="6325"/>
    <cellStyle name="Total 41" xfId="4625"/>
    <cellStyle name="Total 41 2" xfId="5653"/>
    <cellStyle name="Total 41 3" xfId="6263"/>
    <cellStyle name="Total 42" xfId="4734"/>
    <cellStyle name="Total 42 2" xfId="5740"/>
    <cellStyle name="Total 42 3" xfId="6350"/>
    <cellStyle name="Total 43" xfId="4780"/>
    <cellStyle name="Total 43 2" xfId="5773"/>
    <cellStyle name="Total 43 3" xfId="6383"/>
    <cellStyle name="Total 44" xfId="4796"/>
    <cellStyle name="Total 44 2" xfId="5785"/>
    <cellStyle name="Total 44 3" xfId="6395"/>
    <cellStyle name="Total 45" xfId="4835"/>
    <cellStyle name="Total 45 2" xfId="5805"/>
    <cellStyle name="Total 45 3" xfId="6415"/>
    <cellStyle name="Total 46" xfId="4855"/>
    <cellStyle name="Total 47" xfId="4814"/>
    <cellStyle name="Total 5" xfId="3772"/>
    <cellStyle name="Total 6" xfId="3773"/>
    <cellStyle name="Total 7" xfId="3774"/>
    <cellStyle name="Total 8" xfId="3775"/>
    <cellStyle name="Total 9" xfId="3776"/>
    <cellStyle name="Tusental (0)_laroux" xfId="3777"/>
    <cellStyle name="Tusental_laroux" xfId="3778"/>
    <cellStyle name="Überschrift" xfId="3779"/>
    <cellStyle name="Überschrift 1" xfId="3780"/>
    <cellStyle name="Überschrift 2" xfId="3781"/>
    <cellStyle name="Überschrift 3" xfId="3782"/>
    <cellStyle name="Überschrift 4" xfId="3783"/>
    <cellStyle name="Underline" xfId="3784"/>
    <cellStyle name="Valuta (0)_Cartel1" xfId="3785"/>
    <cellStyle name="Valuta_laroux" xfId="3786"/>
    <cellStyle name="Vehicle_Benchmark" xfId="3787"/>
    <cellStyle name="Verknüpfte Zelle" xfId="3788"/>
    <cellStyle name="Volumes_Data" xfId="3789"/>
    <cellStyle name="Währung [0]_!!!GO" xfId="3790"/>
    <cellStyle name="Währung_!!!GO" xfId="3791"/>
    <cellStyle name="Warnender Text" xfId="3792"/>
    <cellStyle name="Warning Text" xfId="3793"/>
    <cellStyle name="Warning Text 10" xfId="3794"/>
    <cellStyle name="Warning Text 11" xfId="3795"/>
    <cellStyle name="Warning Text 12" xfId="3796"/>
    <cellStyle name="Warning Text 13" xfId="3797"/>
    <cellStyle name="Warning Text 14" xfId="3798"/>
    <cellStyle name="Warning Text 15" xfId="3799"/>
    <cellStyle name="Warning Text 16" xfId="3800"/>
    <cellStyle name="Warning Text 17" xfId="3801"/>
    <cellStyle name="Warning Text 18" xfId="3802"/>
    <cellStyle name="Warning Text 19" xfId="3803"/>
    <cellStyle name="Warning Text 2" xfId="3804"/>
    <cellStyle name="Warning Text 2 2" xfId="3805"/>
    <cellStyle name="Warning Text 2 3" xfId="3806"/>
    <cellStyle name="Warning Text 20" xfId="3807"/>
    <cellStyle name="Warning Text 21" xfId="3808"/>
    <cellStyle name="Warning Text 22" xfId="3809"/>
    <cellStyle name="Warning Text 23" xfId="3810"/>
    <cellStyle name="Warning Text 24" xfId="3811"/>
    <cellStyle name="Warning Text 25" xfId="3812"/>
    <cellStyle name="Warning Text 26" xfId="3813"/>
    <cellStyle name="Warning Text 27" xfId="3814"/>
    <cellStyle name="Warning Text 27 2" xfId="3815"/>
    <cellStyle name="Warning Text 27 3" xfId="3816"/>
    <cellStyle name="Warning Text 27 4" xfId="3817"/>
    <cellStyle name="Warning Text 27 5" xfId="3818"/>
    <cellStyle name="Warning Text 27 6" xfId="3819"/>
    <cellStyle name="Warning Text 28" xfId="3820"/>
    <cellStyle name="Warning Text 29" xfId="3821"/>
    <cellStyle name="Warning Text 3" xfId="3822"/>
    <cellStyle name="Warning Text 30" xfId="3823"/>
    <cellStyle name="Warning Text 31" xfId="3824"/>
    <cellStyle name="Warning Text 32" xfId="4235"/>
    <cellStyle name="Warning Text 32 2" xfId="5452"/>
    <cellStyle name="Warning Text 32 3" xfId="6064"/>
    <cellStyle name="Warning Text 33" xfId="4470"/>
    <cellStyle name="Warning Text 33 2" xfId="5540"/>
    <cellStyle name="Warning Text 33 3" xfId="6152"/>
    <cellStyle name="Warning Text 34" xfId="4166"/>
    <cellStyle name="Warning Text 34 2" xfId="5399"/>
    <cellStyle name="Warning Text 34 3" xfId="6013"/>
    <cellStyle name="Warning Text 35" xfId="4504"/>
    <cellStyle name="Warning Text 35 2" xfId="5571"/>
    <cellStyle name="Warning Text 35 3" xfId="6183"/>
    <cellStyle name="Warning Text 36" xfId="4577"/>
    <cellStyle name="Warning Text 36 2" xfId="5624"/>
    <cellStyle name="Warning Text 36 3" xfId="6234"/>
    <cellStyle name="Warning Text 37" xfId="4522"/>
    <cellStyle name="Warning Text 37 2" xfId="5587"/>
    <cellStyle name="Warning Text 37 3" xfId="6198"/>
    <cellStyle name="Warning Text 38" xfId="4672"/>
    <cellStyle name="Warning Text 38 2" xfId="5689"/>
    <cellStyle name="Warning Text 38 3" xfId="6299"/>
    <cellStyle name="Warning Text 39" xfId="4517"/>
    <cellStyle name="Warning Text 39 2" xfId="5582"/>
    <cellStyle name="Warning Text 39 3" xfId="6194"/>
    <cellStyle name="Warning Text 4" xfId="3825"/>
    <cellStyle name="Warning Text 40" xfId="4708"/>
    <cellStyle name="Warning Text 40 2" xfId="5717"/>
    <cellStyle name="Warning Text 40 3" xfId="6327"/>
    <cellStyle name="Warning Text 41" xfId="4632"/>
    <cellStyle name="Warning Text 41 2" xfId="5660"/>
    <cellStyle name="Warning Text 41 3" xfId="6270"/>
    <cellStyle name="Warning Text 42" xfId="4735"/>
    <cellStyle name="Warning Text 42 2" xfId="5741"/>
    <cellStyle name="Warning Text 42 3" xfId="6351"/>
    <cellStyle name="Warning Text 43" xfId="4781"/>
    <cellStyle name="Warning Text 43 2" xfId="5774"/>
    <cellStyle name="Warning Text 43 3" xfId="6384"/>
    <cellStyle name="Warning Text 44" xfId="4800"/>
    <cellStyle name="Warning Text 44 2" xfId="5786"/>
    <cellStyle name="Warning Text 44 3" xfId="6396"/>
    <cellStyle name="Warning Text 45" xfId="4836"/>
    <cellStyle name="Warning Text 45 2" xfId="5806"/>
    <cellStyle name="Warning Text 45 3" xfId="6416"/>
    <cellStyle name="Warning Text 46" xfId="4856"/>
    <cellStyle name="Warning Text 47" xfId="4813"/>
    <cellStyle name="Warning Text 5" xfId="3826"/>
    <cellStyle name="Warning Text 6" xfId="3827"/>
    <cellStyle name="Warning Text 7" xfId="3828"/>
    <cellStyle name="Warning Text 8" xfId="3829"/>
    <cellStyle name="Warning Text 9" xfId="3830"/>
    <cellStyle name="weekly" xfId="3831"/>
    <cellStyle name="W臧rung [0]_pldt" xfId="3832"/>
    <cellStyle name="W臧rung_pldt" xfId="3833"/>
    <cellStyle name="Z: Dezimal, 1 St." xfId="3834"/>
    <cellStyle name="Z: Dezimal, 1 St. 2" xfId="3835"/>
    <cellStyle name="Z: Dezimal, 1 St. 2 2" xfId="5206"/>
    <cellStyle name="Z: Dezimal, 1 St. 2 3" xfId="5822"/>
    <cellStyle name="Z: Dezimal, 1 St. 3" xfId="3836"/>
    <cellStyle name="Z: Dezimal, 1 St. 3 2" xfId="5207"/>
    <cellStyle name="Z: Dezimal, 1 St. 3 3" xfId="5823"/>
    <cellStyle name="Z: Dezimal, 1 St. 4" xfId="3837"/>
    <cellStyle name="Z: Dezimal, 1 St. 4 2" xfId="5208"/>
    <cellStyle name="Z: Dezimal, 1 St. 4 3" xfId="5824"/>
    <cellStyle name="Z: Dezimal, 1 St. 5" xfId="3838"/>
    <cellStyle name="Z: Dezimal, 1 St. 5 2" xfId="5209"/>
    <cellStyle name="Z: Dezimal, 1 St. 5 3" xfId="5825"/>
    <cellStyle name="Z: Dezimal, 1 St. 6" xfId="3839"/>
    <cellStyle name="Z: Dezimal, 1 St. 6 2" xfId="5210"/>
    <cellStyle name="Z: Dezimal, 1 St. 6 3" xfId="5826"/>
    <cellStyle name="Z: Dezimal, 1 St. 7" xfId="3840"/>
    <cellStyle name="Z: Dezimal, 1 St. 7 2" xfId="5211"/>
    <cellStyle name="Z: Dezimal, 1 St. 7 3" xfId="5827"/>
    <cellStyle name="Z: Dezimal, 2 St." xfId="3841"/>
    <cellStyle name="Z: Dezimal, 2 St. 2" xfId="3842"/>
    <cellStyle name="Z: Dezimal, 2 St. 2 2" xfId="5212"/>
    <cellStyle name="Z: Dezimal, 2 St. 2 3" xfId="5828"/>
    <cellStyle name="Z: Dezimal, 2 St. 3" xfId="3843"/>
    <cellStyle name="Z: Dezimal, 2 St. 3 2" xfId="5213"/>
    <cellStyle name="Z: Dezimal, 2 St. 3 3" xfId="5829"/>
    <cellStyle name="Z: Dezimal, 2 St. 4" xfId="3844"/>
    <cellStyle name="Z: Dezimal, 2 St. 4 2" xfId="5214"/>
    <cellStyle name="Z: Dezimal, 2 St. 4 3" xfId="5830"/>
    <cellStyle name="Z: Dezimal, 2 St. 5" xfId="3845"/>
    <cellStyle name="Z: Dezimal, 2 St. 5 2" xfId="5215"/>
    <cellStyle name="Z: Dezimal, 2 St. 5 3" xfId="5831"/>
    <cellStyle name="Z: Dezimal, 2 St. 6" xfId="3846"/>
    <cellStyle name="Z: Dezimal, 2 St. 6 2" xfId="5216"/>
    <cellStyle name="Z: Dezimal, 2 St. 6 3" xfId="5832"/>
    <cellStyle name="Z: Dezimal, 2 St. 7" xfId="3847"/>
    <cellStyle name="Z: Dezimal, 2 St. 7 2" xfId="5217"/>
    <cellStyle name="Z: Dezimal, 2 St. 7 3" xfId="5833"/>
    <cellStyle name="Z: Einheiten" xfId="3848"/>
    <cellStyle name="Z: Einheiten 2" xfId="3849"/>
    <cellStyle name="Z: Einheiten 2 2" xfId="5218"/>
    <cellStyle name="Z: Einheiten 2 3" xfId="5834"/>
    <cellStyle name="Z: Einheiten 3" xfId="3850"/>
    <cellStyle name="Z: Einheiten 3 2" xfId="5219"/>
    <cellStyle name="Z: Einheiten 3 3" xfId="5835"/>
    <cellStyle name="Z: Einheiten 4" xfId="3851"/>
    <cellStyle name="Z: Einheiten 4 2" xfId="5220"/>
    <cellStyle name="Z: Einheiten 4 3" xfId="5836"/>
    <cellStyle name="Z: Einheiten 5" xfId="3852"/>
    <cellStyle name="Z: Einheiten 5 2" xfId="5221"/>
    <cellStyle name="Z: Einheiten 5 3" xfId="5837"/>
    <cellStyle name="Z: Einheiten 6" xfId="3853"/>
    <cellStyle name="Z: Einheiten 6 2" xfId="5222"/>
    <cellStyle name="Z: Einheiten 6 3" xfId="5838"/>
    <cellStyle name="Z: Einheiten 7" xfId="3854"/>
    <cellStyle name="Z: Einheiten 7 2" xfId="5223"/>
    <cellStyle name="Z: Einheiten 7 3" xfId="5839"/>
    <cellStyle name="Z: Mit Vorzeichen" xfId="3855"/>
    <cellStyle name="Z: Mit Vorzeichen 2" xfId="3856"/>
    <cellStyle name="Z: Mit Vorzeichen 2 2" xfId="5224"/>
    <cellStyle name="Z: Mit Vorzeichen 2 3" xfId="5840"/>
    <cellStyle name="Z: Mit Vorzeichen 3" xfId="3857"/>
    <cellStyle name="Z: Mit Vorzeichen 3 2" xfId="5225"/>
    <cellStyle name="Z: Mit Vorzeichen 3 3" xfId="5841"/>
    <cellStyle name="Z: Mit Vorzeichen 4" xfId="3858"/>
    <cellStyle name="Z: Mit Vorzeichen 4 2" xfId="5226"/>
    <cellStyle name="Z: Mit Vorzeichen 4 3" xfId="5842"/>
    <cellStyle name="Z: Mit Vorzeichen 5" xfId="3859"/>
    <cellStyle name="Z: Mit Vorzeichen 5 2" xfId="5227"/>
    <cellStyle name="Z: Mit Vorzeichen 5 3" xfId="5843"/>
    <cellStyle name="Z: Mit Vorzeichen 6" xfId="3860"/>
    <cellStyle name="Z: Mit Vorzeichen 6 2" xfId="5228"/>
    <cellStyle name="Z: Mit Vorzeichen 6 3" xfId="5844"/>
    <cellStyle name="Z: Mit Vorzeichen 7" xfId="3861"/>
    <cellStyle name="Z: Mit Vorzeichen 7 2" xfId="5229"/>
    <cellStyle name="Z: Mit Vorzeichen 7 3" xfId="5845"/>
    <cellStyle name="Z: Prozent" xfId="3862"/>
    <cellStyle name="Z: Prozent 2" xfId="3863"/>
    <cellStyle name="Z: Prozent 2 2" xfId="5230"/>
    <cellStyle name="Z: Prozent 2 3" xfId="5846"/>
    <cellStyle name="Z: Prozent 3" xfId="3864"/>
    <cellStyle name="Z: Prozent 3 2" xfId="5231"/>
    <cellStyle name="Z: Prozent 3 3" xfId="5847"/>
    <cellStyle name="Z: Prozent 4" xfId="3865"/>
    <cellStyle name="Z: Prozent 4 2" xfId="5232"/>
    <cellStyle name="Z: Prozent 4 3" xfId="5848"/>
    <cellStyle name="Z: Prozent 5" xfId="3866"/>
    <cellStyle name="Z: Prozent 5 2" xfId="5233"/>
    <cellStyle name="Z: Prozent 5 3" xfId="5849"/>
    <cellStyle name="Z: Prozent 6" xfId="3867"/>
    <cellStyle name="Z: Prozent 6 2" xfId="5234"/>
    <cellStyle name="Z: Prozent 6 3" xfId="5850"/>
    <cellStyle name="Z: Prozent 7" xfId="3868"/>
    <cellStyle name="Z: Prozent 7 2" xfId="5235"/>
    <cellStyle name="Z: Prozent 7 3" xfId="5851"/>
    <cellStyle name="Z: Währung" xfId="3869"/>
    <cellStyle name="Z: Währung 2" xfId="3870"/>
    <cellStyle name="Z: Währung 2 2" xfId="5236"/>
    <cellStyle name="Z: Währung 2 3" xfId="5852"/>
    <cellStyle name="Z: Währung 3" xfId="3871"/>
    <cellStyle name="Z: Währung 3 2" xfId="5237"/>
    <cellStyle name="Z: Währung 3 3" xfId="5853"/>
    <cellStyle name="Z: Währung 4" xfId="3872"/>
    <cellStyle name="Z: Währung 4 2" xfId="5238"/>
    <cellStyle name="Z: Währung 4 3" xfId="5854"/>
    <cellStyle name="Z: Währung 5" xfId="3873"/>
    <cellStyle name="Z: Währung 5 2" xfId="5239"/>
    <cellStyle name="Z: Währung 5 3" xfId="5855"/>
    <cellStyle name="Z: Währung 6" xfId="3874"/>
    <cellStyle name="Z: Währung 6 2" xfId="5240"/>
    <cellStyle name="Z: Währung 6 3" xfId="5856"/>
    <cellStyle name="Z: Währung 7" xfId="3875"/>
    <cellStyle name="Z: Währung 7 2" xfId="5241"/>
    <cellStyle name="Z: Währung 7 3" xfId="5857"/>
    <cellStyle name="Zelle überprüfen" xfId="3876"/>
    <cellStyle name="강조색1" xfId="4241"/>
    <cellStyle name="강조색1 2" xfId="4242"/>
    <cellStyle name="강조색1 3" xfId="4243"/>
    <cellStyle name="강조색1 4" xfId="4244"/>
    <cellStyle name="강조색2" xfId="4245"/>
    <cellStyle name="강조색2 2" xfId="4246"/>
    <cellStyle name="강조색2 3" xfId="4247"/>
    <cellStyle name="강조색2 4" xfId="4248"/>
    <cellStyle name="강조색3" xfId="4249"/>
    <cellStyle name="강조색3 2" xfId="4250"/>
    <cellStyle name="강조색3 3" xfId="4251"/>
    <cellStyle name="강조색3 4" xfId="4252"/>
    <cellStyle name="강조색4" xfId="4253"/>
    <cellStyle name="강조색4 2" xfId="4254"/>
    <cellStyle name="강조색4 3" xfId="4255"/>
    <cellStyle name="강조색4 4" xfId="4256"/>
    <cellStyle name="강조색5" xfId="4257"/>
    <cellStyle name="강조색5 2" xfId="4258"/>
    <cellStyle name="강조색5 3" xfId="4259"/>
    <cellStyle name="강조색5 4" xfId="4260"/>
    <cellStyle name="강조색6" xfId="4261"/>
    <cellStyle name="강조색6 2" xfId="4262"/>
    <cellStyle name="강조색6 3" xfId="4263"/>
    <cellStyle name="강조색6 4" xfId="4264"/>
    <cellStyle name="경고문" xfId="4265"/>
    <cellStyle name="경고문 2" xfId="4266"/>
    <cellStyle name="경고문 3" xfId="4267"/>
    <cellStyle name="경고문 4" xfId="4268"/>
    <cellStyle name="계산" xfId="4269"/>
    <cellStyle name="계산 2" xfId="4270"/>
    <cellStyle name="계산 3" xfId="4271"/>
    <cellStyle name="계산 4" xfId="4272"/>
    <cellStyle name="나쁨" xfId="4273"/>
    <cellStyle name="나쁨 2" xfId="4274"/>
    <cellStyle name="나쁨 3" xfId="4275"/>
    <cellStyle name="나쁨 4" xfId="4276"/>
    <cellStyle name="뒤에 오는 하이퍼링크_2003_제조경비-선행기술팀(서봉)_수정(교육훈련비)" xfId="4277"/>
    <cellStyle name="메모" xfId="4278"/>
    <cellStyle name="메모 2" xfId="4279"/>
    <cellStyle name="메모 3" xfId="4280"/>
    <cellStyle name="메모 4" xfId="4281"/>
    <cellStyle name="백" xfId="4282"/>
    <cellStyle name="백_GMT967_RTS" xfId="4283"/>
    <cellStyle name="백_VI_Tail&amp;Stop" xfId="4284"/>
    <cellStyle name="보통" xfId="4285"/>
    <cellStyle name="보통 2" xfId="4286"/>
    <cellStyle name="보통 3" xfId="4287"/>
    <cellStyle name="보통 4" xfId="4288"/>
    <cellStyle name="뷭?_BOOKSHIP" xfId="4289"/>
    <cellStyle name="설명 텍스트" xfId="4290"/>
    <cellStyle name="설명 텍스트 2" xfId="4291"/>
    <cellStyle name="설명 텍스트 3" xfId="4292"/>
    <cellStyle name="설명 텍스트 4" xfId="4293"/>
    <cellStyle name="셀 확인" xfId="4294"/>
    <cellStyle name="셀 확인 2" xfId="4295"/>
    <cellStyle name="셀 확인 3" xfId="4296"/>
    <cellStyle name="셀 확인 4" xfId="4297"/>
    <cellStyle name="쉼표 [0]_EIL Injection 1" xfId="3877"/>
    <cellStyle name="스타일 1" xfId="4298"/>
    <cellStyle name="안건회계법인" xfId="3878"/>
    <cellStyle name="연결된 셀" xfId="4300"/>
    <cellStyle name="연결된 셀 2" xfId="4301"/>
    <cellStyle name="연결된 셀 3" xfId="4302"/>
    <cellStyle name="연결된 셀 4" xfId="4303"/>
    <cellStyle name="요약" xfId="4304"/>
    <cellStyle name="요약 2" xfId="4305"/>
    <cellStyle name="요약 3" xfId="4306"/>
    <cellStyle name="요약 4" xfId="4307"/>
    <cellStyle name="입력" xfId="4308"/>
    <cellStyle name="입력 2" xfId="4309"/>
    <cellStyle name="입력 3" xfId="4310"/>
    <cellStyle name="입력 4" xfId="4311"/>
    <cellStyle name="제목" xfId="4312"/>
    <cellStyle name="제목 1" xfId="4313"/>
    <cellStyle name="제목 1 2" xfId="4314"/>
    <cellStyle name="제목 1 3" xfId="4315"/>
    <cellStyle name="제목 1 4" xfId="4316"/>
    <cellStyle name="제목 2" xfId="4317"/>
    <cellStyle name="제목 2 2" xfId="4318"/>
    <cellStyle name="제목 2 3" xfId="4319"/>
    <cellStyle name="제목 2 4" xfId="4320"/>
    <cellStyle name="제목 3" xfId="4321"/>
    <cellStyle name="제목 3 2" xfId="4322"/>
    <cellStyle name="제목 3 3" xfId="4323"/>
    <cellStyle name="제목 3 4" xfId="4324"/>
    <cellStyle name="제목 4" xfId="4325"/>
    <cellStyle name="제목 4 2" xfId="4326"/>
    <cellStyle name="제목 4 3" xfId="4327"/>
    <cellStyle name="제목 4 4" xfId="4328"/>
    <cellStyle name="제목 5" xfId="4329"/>
    <cellStyle name="제목 6" xfId="4330"/>
    <cellStyle name="제목 7" xfId="4331"/>
    <cellStyle name="좋음" xfId="4332"/>
    <cellStyle name="좋음 2" xfId="4333"/>
    <cellStyle name="좋음 3" xfId="4334"/>
    <cellStyle name="좋음 4" xfId="4335"/>
    <cellStyle name="출력" xfId="4336"/>
    <cellStyle name="출력 2" xfId="4337"/>
    <cellStyle name="출력 3" xfId="4338"/>
    <cellStyle name="출력 4" xfId="4339"/>
    <cellStyle name="콤" xfId="4340"/>
    <cellStyle name="콤_GMT967_RTS" xfId="4341"/>
    <cellStyle name="콤_VI_Tail&amp;Stop" xfId="4342"/>
    <cellStyle name="콤마 [" xfId="4343"/>
    <cellStyle name="콤마 [0]_★안別 종합비교 " xfId="4344"/>
    <cellStyle name="콤마_★안別 종합비교 " xfId="4345"/>
    <cellStyle name="통" xfId="4346"/>
    <cellStyle name="통_GMT967_RTS" xfId="4347"/>
    <cellStyle name="통_VI_Tail&amp;Stop" xfId="4348"/>
    <cellStyle name="통화 [" xfId="4349"/>
    <cellStyle name="통화 [0]_HIST0124" xfId="3879"/>
    <cellStyle name="통화_HIST0124" xfId="3880"/>
    <cellStyle name="표" xfId="4352"/>
    <cellStyle name="표_GMT967_RTS" xfId="4353"/>
    <cellStyle name="표_VI_Tail&amp;Stop" xfId="4354"/>
    <cellStyle name="표준 2" xfId="4355"/>
    <cellStyle name="표준 3" xfId="4356"/>
    <cellStyle name="표준 4" xfId="4357"/>
    <cellStyle name="표준_DTOP" xfId="3881"/>
    <cellStyle name="一般_BOM of Audi C6 Limousine ECE FENDER V12(0)_BOM_C6_Limo_Fender_0806" xfId="3882"/>
    <cellStyle name="中ゴシック18" xfId="3883"/>
    <cellStyle name="好_660022" xfId="3884"/>
    <cellStyle name="差_660022" xfId="3885"/>
    <cellStyle name="常规 2" xfId="3886"/>
    <cellStyle name="常规 2 2" xfId="3887"/>
    <cellStyle name="常规_1ENS329700A" xfId="3888"/>
    <cellStyle name="強調1" xfId="3889"/>
    <cellStyle name="強調2" xfId="3890"/>
    <cellStyle name="強調3" xfId="3891"/>
    <cellStyle name="標準_【V2最新】20030213 V2 ScaleDefinition" xfId="3892"/>
    <cellStyle name="標準明朝" xfId="3893"/>
    <cellStyle name="細明朝10" xfId="3894"/>
    <cellStyle name="細明朝12" xfId="3895"/>
  </cellStyles>
  <dxfs count="0"/>
  <tableStyles count="0" defaultTableStyle="TableStyleMedium9" defaultPivotStyle="PivotStyleLight16"/>
  <colors>
    <mruColors>
      <color rgb="FF000099"/>
      <color rgb="FF008000"/>
      <color rgb="FF0000FF"/>
      <color rgb="FF009900"/>
      <color rgb="FF2C69B2"/>
      <color rgb="FF3379CD"/>
      <color rgb="FFBDEEFF"/>
      <color rgb="FF255997"/>
      <color rgb="FFFFFF99"/>
      <color rgb="FF204C82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609600</xdr:colOff>
      <xdr:row>0</xdr:row>
      <xdr:rowOff>342900</xdr:rowOff>
    </xdr:from>
    <xdr:to>
      <xdr:col>11</xdr:col>
      <xdr:colOff>1028700</xdr:colOff>
      <xdr:row>4</xdr:row>
      <xdr:rowOff>266700</xdr:rowOff>
    </xdr:to>
    <xdr:pic>
      <xdr:nvPicPr>
        <xdr:cNvPr id="2" name="Picture 7" descr="Certified Minority Supplier_1024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906750" y="342900"/>
          <a:ext cx="2647950" cy="1714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609600</xdr:colOff>
      <xdr:row>0</xdr:row>
      <xdr:rowOff>342900</xdr:rowOff>
    </xdr:from>
    <xdr:to>
      <xdr:col>11</xdr:col>
      <xdr:colOff>1028700</xdr:colOff>
      <xdr:row>4</xdr:row>
      <xdr:rowOff>266700</xdr:rowOff>
    </xdr:to>
    <xdr:pic>
      <xdr:nvPicPr>
        <xdr:cNvPr id="3188" name="Picture 7" descr="Certified Minority Supplier_1024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40075" y="342900"/>
          <a:ext cx="2628900" cy="1714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1350820</xdr:colOff>
      <xdr:row>40</xdr:row>
      <xdr:rowOff>259771</xdr:rowOff>
    </xdr:from>
    <xdr:to>
      <xdr:col>8</xdr:col>
      <xdr:colOff>753465</xdr:colOff>
      <xdr:row>47</xdr:row>
      <xdr:rowOff>571499</xdr:rowOff>
    </xdr:to>
    <xdr:pic>
      <xdr:nvPicPr>
        <xdr:cNvPr id="3" name="Picture 14" descr="]4~)MG1F7Z`8GO]L5%]D(8V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823365" y="57080726"/>
          <a:ext cx="7819282" cy="41044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609600</xdr:colOff>
      <xdr:row>0</xdr:row>
      <xdr:rowOff>342900</xdr:rowOff>
    </xdr:from>
    <xdr:to>
      <xdr:col>11</xdr:col>
      <xdr:colOff>1028700</xdr:colOff>
      <xdr:row>4</xdr:row>
      <xdr:rowOff>266700</xdr:rowOff>
    </xdr:to>
    <xdr:pic>
      <xdr:nvPicPr>
        <xdr:cNvPr id="2" name="Picture 7" descr="Certified Minority Supplier_1024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982950" y="342900"/>
          <a:ext cx="2495550" cy="1714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1093990</xdr:colOff>
      <xdr:row>58</xdr:row>
      <xdr:rowOff>17319</xdr:rowOff>
    </xdr:from>
    <xdr:to>
      <xdr:col>9</xdr:col>
      <xdr:colOff>264103</xdr:colOff>
      <xdr:row>67</xdr:row>
      <xdr:rowOff>138546</xdr:rowOff>
    </xdr:to>
    <xdr:pic>
      <xdr:nvPicPr>
        <xdr:cNvPr id="4" name="Picture 13" descr="~M8$%(50QYL9U~7_%7_G2MW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350308" y="56924864"/>
          <a:ext cx="7292340" cy="52300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76"/>
  <sheetViews>
    <sheetView zoomScale="55" zoomScaleNormal="55" workbookViewId="0">
      <selection activeCell="M17" sqref="M17"/>
    </sheetView>
  </sheetViews>
  <sheetFormatPr defaultColWidth="8.88671875" defaultRowHeight="15"/>
  <cols>
    <col min="1" max="1" width="11.44140625" style="8" customWidth="1"/>
    <col min="2" max="2" width="13.44140625" style="8" customWidth="1"/>
    <col min="3" max="3" width="18.109375" style="8" customWidth="1"/>
    <col min="4" max="4" width="10.88671875" style="46" bestFit="1" customWidth="1"/>
    <col min="5" max="5" width="11.44140625" style="46" customWidth="1"/>
    <col min="6" max="6" width="20.88671875" style="46" customWidth="1"/>
    <col min="7" max="7" width="35.109375" style="47" customWidth="1"/>
    <col min="8" max="8" width="39.6640625" style="47" customWidth="1"/>
    <col min="9" max="9" width="17.44140625" style="47" customWidth="1"/>
    <col min="10" max="10" width="11.44140625" style="47" customWidth="1"/>
    <col min="11" max="11" width="14.5546875" style="8" customWidth="1"/>
    <col min="12" max="12" width="14.21875" style="48" customWidth="1"/>
    <col min="13" max="13" width="40.109375" style="8" customWidth="1"/>
    <col min="14" max="14" width="1.77734375" style="8" customWidth="1"/>
    <col min="15" max="15" width="18.88671875" style="8" customWidth="1"/>
    <col min="16" max="16" width="9.88671875" style="8" customWidth="1"/>
    <col min="17" max="17" width="10.77734375" style="6" customWidth="1"/>
    <col min="18" max="18" width="10.77734375" style="7" customWidth="1"/>
    <col min="19" max="19" width="9.5546875" style="8" customWidth="1"/>
    <col min="20" max="20" width="7.6640625" style="8" customWidth="1"/>
    <col min="21" max="21" width="8.88671875" style="8" customWidth="1"/>
    <col min="22" max="22" width="9" style="8" customWidth="1"/>
    <col min="23" max="23" width="8.77734375" style="8" customWidth="1"/>
    <col min="24" max="24" width="12.21875" style="8" customWidth="1"/>
    <col min="25" max="28" width="9.88671875" style="8" customWidth="1"/>
    <col min="29" max="30" width="8.77734375" style="8" customWidth="1"/>
    <col min="31" max="31" width="8.109375" style="8" bestFit="1" customWidth="1"/>
    <col min="32" max="34" width="16.44140625" style="8" customWidth="1"/>
    <col min="35" max="16384" width="8.88671875" style="8"/>
  </cols>
  <sheetData>
    <row r="1" spans="1:34" ht="35.25" customHeight="1">
      <c r="A1" s="1" t="s">
        <v>0</v>
      </c>
      <c r="B1" s="2"/>
      <c r="C1" s="2"/>
      <c r="D1" s="3"/>
      <c r="E1" s="3"/>
      <c r="F1" s="4"/>
      <c r="G1" s="75" t="s">
        <v>1</v>
      </c>
      <c r="H1" s="137">
        <v>42585</v>
      </c>
      <c r="I1" s="132"/>
      <c r="J1" s="5"/>
      <c r="K1" s="4"/>
      <c r="L1" s="4"/>
      <c r="M1" s="4"/>
      <c r="N1" s="4"/>
      <c r="O1" s="4"/>
      <c r="P1" s="4"/>
    </row>
    <row r="2" spans="1:34" ht="35.25" customHeight="1">
      <c r="A2" s="9"/>
      <c r="B2" s="4"/>
      <c r="C2" s="4"/>
      <c r="D2" s="4"/>
      <c r="E2" s="4"/>
      <c r="F2" s="4"/>
      <c r="G2" s="10"/>
      <c r="H2" s="11"/>
      <c r="I2" s="11"/>
      <c r="J2" s="11"/>
      <c r="K2" s="4"/>
      <c r="L2" s="4"/>
      <c r="M2" s="4"/>
      <c r="N2" s="4"/>
      <c r="O2" s="4"/>
      <c r="P2" s="4"/>
    </row>
    <row r="3" spans="1:34" ht="35.25" customHeight="1">
      <c r="A3" s="206" t="s">
        <v>2</v>
      </c>
      <c r="B3" s="206"/>
      <c r="C3" s="207" t="s">
        <v>57</v>
      </c>
      <c r="D3" s="207"/>
      <c r="E3" s="207"/>
      <c r="F3" s="207"/>
      <c r="G3" s="207"/>
      <c r="H3" s="207"/>
      <c r="I3" s="132"/>
      <c r="J3" s="13"/>
      <c r="K3" s="14"/>
      <c r="L3" s="15"/>
      <c r="M3" s="16"/>
      <c r="N3" s="16"/>
      <c r="O3" s="16"/>
      <c r="P3" s="17"/>
    </row>
    <row r="4" spans="1:34" ht="35.25" customHeight="1">
      <c r="A4" s="206" t="s">
        <v>3</v>
      </c>
      <c r="B4" s="206"/>
      <c r="C4" s="207" t="s">
        <v>69</v>
      </c>
      <c r="D4" s="207"/>
      <c r="E4" s="207"/>
      <c r="F4" s="207"/>
      <c r="G4" s="207"/>
      <c r="H4" s="207"/>
      <c r="I4" s="132"/>
      <c r="J4" s="13"/>
      <c r="K4" s="18"/>
      <c r="L4" s="15"/>
      <c r="M4" s="19"/>
      <c r="N4" s="19"/>
      <c r="O4" s="19"/>
      <c r="P4" s="17"/>
    </row>
    <row r="5" spans="1:34" ht="45" customHeight="1" thickBot="1">
      <c r="A5" s="208" t="s">
        <v>4</v>
      </c>
      <c r="B5" s="208"/>
      <c r="C5" s="77"/>
      <c r="D5" s="20"/>
      <c r="E5" s="132"/>
      <c r="F5" s="76" t="s">
        <v>5</v>
      </c>
      <c r="G5" s="137">
        <v>43252</v>
      </c>
      <c r="H5" s="132"/>
      <c r="I5" s="132"/>
      <c r="J5" s="13"/>
      <c r="K5" s="18"/>
      <c r="L5" s="15"/>
      <c r="M5" s="19"/>
      <c r="N5" s="19"/>
      <c r="O5" s="19"/>
      <c r="P5" s="17"/>
    </row>
    <row r="6" spans="1:34" ht="78.2" customHeight="1" thickTop="1">
      <c r="A6" s="204" t="s">
        <v>6</v>
      </c>
      <c r="B6" s="204"/>
      <c r="C6" s="205" t="s">
        <v>40</v>
      </c>
      <c r="D6" s="205"/>
      <c r="E6" s="205"/>
      <c r="F6" s="205"/>
      <c r="G6" s="205"/>
      <c r="H6" s="132"/>
      <c r="I6" s="74" t="s">
        <v>7</v>
      </c>
      <c r="J6" s="213" t="s">
        <v>68</v>
      </c>
      <c r="K6" s="214"/>
      <c r="L6" s="214"/>
      <c r="M6" s="215"/>
      <c r="N6" s="132"/>
      <c r="P6" s="17"/>
    </row>
    <row r="7" spans="1:34" ht="28.5" customHeight="1">
      <c r="A7" s="208" t="s">
        <v>8</v>
      </c>
      <c r="B7" s="208"/>
      <c r="C7" s="138">
        <v>400000</v>
      </c>
      <c r="D7" s="135"/>
      <c r="E7" s="79"/>
      <c r="F7" s="79"/>
      <c r="G7" s="80"/>
      <c r="H7" s="13"/>
      <c r="I7" s="13"/>
      <c r="J7" s="216"/>
      <c r="K7" s="217"/>
      <c r="L7" s="217"/>
      <c r="M7" s="218"/>
      <c r="N7" s="17"/>
      <c r="O7" s="17"/>
      <c r="P7" s="17"/>
    </row>
    <row r="8" spans="1:34" ht="15" customHeight="1" thickBot="1">
      <c r="A8" s="134"/>
      <c r="B8" s="89"/>
      <c r="C8" s="81"/>
      <c r="D8" s="79"/>
      <c r="E8" s="79"/>
      <c r="F8" s="79"/>
      <c r="G8" s="80"/>
      <c r="H8" s="13"/>
      <c r="I8" s="13"/>
      <c r="J8" s="219"/>
      <c r="K8" s="220"/>
      <c r="L8" s="220"/>
      <c r="M8" s="221"/>
      <c r="N8" s="24"/>
      <c r="O8" s="24"/>
      <c r="P8" s="17"/>
    </row>
    <row r="9" spans="1:34" ht="28.5" customHeight="1" thickTop="1">
      <c r="A9" s="208" t="s">
        <v>33</v>
      </c>
      <c r="B9" s="208"/>
      <c r="C9" s="87" t="s">
        <v>56</v>
      </c>
      <c r="D9" s="135"/>
      <c r="E9" s="79"/>
      <c r="F9" s="79"/>
      <c r="G9" s="80"/>
      <c r="H9" s="131"/>
      <c r="I9" s="13"/>
      <c r="J9" s="13"/>
      <c r="K9" s="17"/>
      <c r="L9" s="17"/>
      <c r="M9" s="17"/>
      <c r="N9" s="17"/>
      <c r="O9" s="17"/>
      <c r="P9" s="17"/>
    </row>
    <row r="10" spans="1:34" ht="28.5" customHeight="1">
      <c r="A10" s="9"/>
      <c r="B10" s="134"/>
      <c r="C10" s="132"/>
      <c r="D10" s="132"/>
      <c r="E10" s="22"/>
      <c r="F10" s="22"/>
      <c r="G10" s="21"/>
      <c r="H10" s="13"/>
      <c r="I10" s="13"/>
      <c r="J10" s="13"/>
      <c r="K10" s="17"/>
      <c r="L10" s="17"/>
      <c r="M10" s="17"/>
      <c r="N10" s="17"/>
      <c r="O10" s="17"/>
      <c r="P10" s="17"/>
    </row>
    <row r="11" spans="1:34" ht="15" customHeight="1">
      <c r="A11" s="9"/>
      <c r="B11" s="17"/>
      <c r="C11" s="17"/>
      <c r="D11" s="22"/>
      <c r="E11" s="22"/>
      <c r="F11" s="22"/>
      <c r="G11" s="21"/>
      <c r="H11" s="13"/>
      <c r="I11" s="13"/>
      <c r="J11" s="13"/>
      <c r="K11" s="23"/>
      <c r="L11" s="17"/>
      <c r="M11" s="24"/>
      <c r="N11" s="24"/>
      <c r="O11" s="24"/>
      <c r="P11" s="17"/>
    </row>
    <row r="12" spans="1:34" ht="30" customHeight="1" thickBot="1">
      <c r="A12" s="209" t="s">
        <v>9</v>
      </c>
      <c r="B12" s="209"/>
      <c r="C12" s="209"/>
      <c r="D12" s="209"/>
      <c r="E12" s="209"/>
      <c r="F12" s="209"/>
      <c r="G12" s="209"/>
      <c r="H12" s="210" t="s">
        <v>10</v>
      </c>
      <c r="I12" s="210"/>
      <c r="J12" s="210"/>
      <c r="K12" s="210"/>
      <c r="L12" s="210"/>
      <c r="M12" s="210"/>
      <c r="N12" s="25"/>
      <c r="O12" s="25"/>
      <c r="P12" s="17"/>
    </row>
    <row r="13" spans="1:34" ht="45.2" customHeight="1" thickBot="1">
      <c r="A13" s="82"/>
      <c r="B13" s="82"/>
      <c r="C13" s="82"/>
      <c r="D13" s="83"/>
      <c r="E13" s="83"/>
      <c r="F13" s="83"/>
      <c r="G13" s="83"/>
      <c r="H13" s="84"/>
      <c r="I13" s="85"/>
      <c r="J13" s="85"/>
      <c r="K13" s="211" t="s">
        <v>11</v>
      </c>
      <c r="L13" s="212"/>
      <c r="M13" s="26"/>
      <c r="N13" s="26"/>
      <c r="O13" s="26"/>
      <c r="P13" s="26"/>
    </row>
    <row r="14" spans="1:34" ht="81.2" customHeight="1" thickBot="1">
      <c r="A14" s="86" t="s">
        <v>39</v>
      </c>
      <c r="B14" s="86" t="s">
        <v>35</v>
      </c>
      <c r="C14" s="86" t="s">
        <v>13</v>
      </c>
      <c r="D14" s="86" t="s">
        <v>14</v>
      </c>
      <c r="E14" s="86" t="s">
        <v>15</v>
      </c>
      <c r="F14" s="86" t="s">
        <v>34</v>
      </c>
      <c r="G14" s="86" t="s">
        <v>16</v>
      </c>
      <c r="H14" s="86" t="s">
        <v>17</v>
      </c>
      <c r="I14" s="86" t="s">
        <v>38</v>
      </c>
      <c r="J14" s="86" t="s">
        <v>36</v>
      </c>
      <c r="K14" s="86" t="s">
        <v>18</v>
      </c>
      <c r="L14" s="86" t="s">
        <v>19</v>
      </c>
      <c r="M14" s="86" t="s">
        <v>20</v>
      </c>
      <c r="N14" s="27"/>
      <c r="O14" s="28" t="s">
        <v>40</v>
      </c>
      <c r="P14" s="28"/>
      <c r="Q14" s="29"/>
      <c r="R14" s="30"/>
      <c r="S14" s="51"/>
      <c r="T14" s="32"/>
      <c r="U14" s="31"/>
      <c r="V14" s="31"/>
      <c r="W14" s="32"/>
      <c r="X14" s="132"/>
      <c r="Y14" s="205"/>
      <c r="Z14" s="205"/>
      <c r="AA14" s="205"/>
      <c r="AB14" s="205"/>
      <c r="AC14" s="51"/>
      <c r="AD14" s="33"/>
      <c r="AE14" s="34"/>
      <c r="AF14" s="35"/>
      <c r="AG14" s="36"/>
      <c r="AH14" s="37"/>
    </row>
    <row r="15" spans="1:34" ht="159.94999999999999" customHeight="1">
      <c r="A15" s="90">
        <v>1</v>
      </c>
      <c r="B15" s="94">
        <v>1</v>
      </c>
      <c r="C15" s="127">
        <f>($C$7*B15)</f>
        <v>400000</v>
      </c>
      <c r="D15" s="94" t="s">
        <v>32</v>
      </c>
      <c r="E15" s="95"/>
      <c r="F15" s="96"/>
      <c r="G15" s="96"/>
      <c r="H15" s="145" t="s">
        <v>110</v>
      </c>
      <c r="I15" s="95"/>
      <c r="J15" s="95"/>
      <c r="K15" s="92">
        <v>0.28870000000000001</v>
      </c>
      <c r="L15" s="91">
        <f>B15*K15</f>
        <v>0.28870000000000001</v>
      </c>
      <c r="M15" s="139" t="s">
        <v>67</v>
      </c>
      <c r="N15" s="141"/>
      <c r="O15" s="50"/>
      <c r="P15" s="41"/>
      <c r="Q15" s="132"/>
      <c r="R15" s="41"/>
      <c r="S15" s="26"/>
      <c r="T15" s="26"/>
      <c r="U15" s="26"/>
      <c r="V15" s="26"/>
      <c r="X15" s="38"/>
      <c r="Y15" s="205"/>
      <c r="Z15" s="205"/>
      <c r="AA15" s="205"/>
      <c r="AB15" s="205"/>
      <c r="AD15" s="38"/>
      <c r="AE15" s="38"/>
      <c r="AF15" s="39"/>
      <c r="AG15" s="39"/>
      <c r="AH15" s="39"/>
    </row>
    <row r="16" spans="1:34" ht="45" customHeight="1">
      <c r="A16" s="97">
        <f>A15+1</f>
        <v>2</v>
      </c>
      <c r="B16" s="98">
        <v>1</v>
      </c>
      <c r="C16" s="128">
        <f t="shared" ref="C16:C17" si="0">($C$7*B16)</f>
        <v>400000</v>
      </c>
      <c r="D16" s="98" t="s">
        <v>32</v>
      </c>
      <c r="E16" s="99"/>
      <c r="F16" s="100"/>
      <c r="G16" s="100"/>
      <c r="H16" s="100" t="s">
        <v>96</v>
      </c>
      <c r="I16" s="99"/>
      <c r="J16" s="99"/>
      <c r="K16" s="101">
        <v>0</v>
      </c>
      <c r="L16" s="102">
        <f t="shared" ref="L16:L24" si="1">B16*K16</f>
        <v>0</v>
      </c>
      <c r="M16" s="103" t="s">
        <v>95</v>
      </c>
      <c r="N16" s="132"/>
      <c r="O16" s="50"/>
      <c r="P16" s="41"/>
      <c r="Q16" s="132"/>
      <c r="R16" s="41"/>
      <c r="S16" s="26"/>
      <c r="T16" s="26"/>
      <c r="U16" s="26"/>
      <c r="V16" s="26"/>
      <c r="X16" s="38"/>
      <c r="Y16" s="205"/>
      <c r="Z16" s="205"/>
      <c r="AA16" s="205"/>
      <c r="AB16" s="205"/>
      <c r="AD16" s="38"/>
      <c r="AE16" s="38"/>
      <c r="AF16" s="39"/>
      <c r="AG16" s="39"/>
      <c r="AH16" s="39"/>
    </row>
    <row r="17" spans="1:34" ht="170.1" customHeight="1">
      <c r="A17" s="97">
        <f t="shared" ref="A17:A24" si="2">A16+1</f>
        <v>3</v>
      </c>
      <c r="B17" s="98">
        <v>2</v>
      </c>
      <c r="C17" s="128">
        <f t="shared" si="0"/>
        <v>800000</v>
      </c>
      <c r="D17" s="98" t="s">
        <v>32</v>
      </c>
      <c r="E17" s="99"/>
      <c r="F17" s="142" t="s">
        <v>71</v>
      </c>
      <c r="G17" s="142" t="s">
        <v>72</v>
      </c>
      <c r="H17" s="100" t="s">
        <v>70</v>
      </c>
      <c r="I17" s="99"/>
      <c r="J17" s="99"/>
      <c r="K17" s="101">
        <v>0.3876</v>
      </c>
      <c r="L17" s="102">
        <f t="shared" si="1"/>
        <v>0.7752</v>
      </c>
      <c r="M17" s="103" t="s">
        <v>119</v>
      </c>
      <c r="N17" s="141"/>
      <c r="O17" s="50"/>
      <c r="P17" s="41"/>
      <c r="Q17" s="132"/>
      <c r="R17" s="41"/>
      <c r="S17" s="26"/>
      <c r="T17" s="26"/>
      <c r="U17" s="26"/>
      <c r="V17" s="26"/>
      <c r="X17" s="38"/>
      <c r="Y17" s="205"/>
      <c r="Z17" s="205"/>
      <c r="AA17" s="205"/>
      <c r="AB17" s="205"/>
      <c r="AD17" s="38"/>
      <c r="AE17" s="38"/>
      <c r="AF17" s="39"/>
      <c r="AG17" s="39"/>
      <c r="AH17" s="39"/>
    </row>
    <row r="18" spans="1:34" ht="45" customHeight="1">
      <c r="A18" s="97">
        <f t="shared" si="2"/>
        <v>4</v>
      </c>
      <c r="B18" s="98"/>
      <c r="C18" s="128"/>
      <c r="D18" s="98"/>
      <c r="E18" s="99"/>
      <c r="F18" s="100"/>
      <c r="G18" s="100"/>
      <c r="H18" s="100"/>
      <c r="I18" s="99"/>
      <c r="J18" s="99"/>
      <c r="K18" s="101">
        <v>0</v>
      </c>
      <c r="L18" s="102">
        <f t="shared" si="1"/>
        <v>0</v>
      </c>
      <c r="M18" s="103"/>
      <c r="N18" s="132"/>
      <c r="O18" s="50"/>
      <c r="P18" s="41"/>
      <c r="Q18" s="132"/>
      <c r="R18" s="41"/>
      <c r="S18" s="26"/>
      <c r="T18" s="26"/>
      <c r="U18" s="26"/>
      <c r="V18" s="26"/>
      <c r="X18" s="38"/>
      <c r="Y18" s="205"/>
      <c r="Z18" s="205"/>
      <c r="AA18" s="205"/>
      <c r="AB18" s="205"/>
      <c r="AD18" s="38"/>
      <c r="AE18" s="38"/>
      <c r="AF18" s="39"/>
      <c r="AG18" s="39"/>
      <c r="AH18" s="39"/>
    </row>
    <row r="19" spans="1:34" ht="45" customHeight="1">
      <c r="A19" s="97">
        <f t="shared" si="2"/>
        <v>5</v>
      </c>
      <c r="B19" s="98"/>
      <c r="C19" s="128"/>
      <c r="D19" s="98"/>
      <c r="E19" s="99"/>
      <c r="F19" s="100"/>
      <c r="G19" s="100"/>
      <c r="H19" s="100"/>
      <c r="I19" s="99"/>
      <c r="J19" s="99"/>
      <c r="K19" s="101">
        <v>0</v>
      </c>
      <c r="L19" s="102">
        <f t="shared" si="1"/>
        <v>0</v>
      </c>
      <c r="M19" s="103"/>
      <c r="N19" s="140"/>
      <c r="O19" s="50"/>
      <c r="P19" s="41"/>
      <c r="Q19" s="132"/>
      <c r="R19" s="41"/>
      <c r="S19" s="26"/>
      <c r="T19" s="26"/>
      <c r="U19" s="26"/>
      <c r="V19" s="26"/>
      <c r="X19" s="38"/>
      <c r="Y19" s="205"/>
      <c r="Z19" s="205"/>
      <c r="AA19" s="205"/>
      <c r="AB19" s="205"/>
      <c r="AD19" s="38"/>
      <c r="AE19" s="38"/>
      <c r="AF19" s="39"/>
      <c r="AG19" s="39"/>
      <c r="AH19" s="39"/>
    </row>
    <row r="20" spans="1:34" ht="45" customHeight="1">
      <c r="A20" s="97">
        <f t="shared" si="2"/>
        <v>6</v>
      </c>
      <c r="B20" s="98"/>
      <c r="C20" s="128"/>
      <c r="D20" s="98"/>
      <c r="E20" s="99"/>
      <c r="F20" s="100"/>
      <c r="G20" s="100"/>
      <c r="H20" s="100"/>
      <c r="I20" s="99"/>
      <c r="J20" s="99"/>
      <c r="K20" s="101">
        <v>0</v>
      </c>
      <c r="L20" s="102">
        <f t="shared" si="1"/>
        <v>0</v>
      </c>
      <c r="M20" s="103"/>
      <c r="N20" s="140"/>
      <c r="O20" s="50"/>
      <c r="P20" s="41"/>
      <c r="Q20" s="132"/>
      <c r="R20" s="41"/>
      <c r="S20" s="26"/>
      <c r="T20" s="26"/>
      <c r="U20" s="26"/>
      <c r="V20" s="26"/>
      <c r="X20" s="38"/>
      <c r="Y20" s="205"/>
      <c r="Z20" s="205"/>
      <c r="AA20" s="205"/>
      <c r="AB20" s="205"/>
      <c r="AD20" s="38"/>
      <c r="AE20" s="38"/>
      <c r="AF20" s="39"/>
      <c r="AG20" s="39"/>
      <c r="AH20" s="39"/>
    </row>
    <row r="21" spans="1:34" ht="45" customHeight="1">
      <c r="A21" s="97">
        <f t="shared" si="2"/>
        <v>7</v>
      </c>
      <c r="B21" s="98"/>
      <c r="C21" s="128"/>
      <c r="D21" s="98"/>
      <c r="E21" s="99"/>
      <c r="F21" s="100"/>
      <c r="G21" s="100"/>
      <c r="H21" s="100"/>
      <c r="I21" s="99"/>
      <c r="J21" s="99"/>
      <c r="K21" s="101">
        <v>0</v>
      </c>
      <c r="L21" s="102">
        <f t="shared" si="1"/>
        <v>0</v>
      </c>
      <c r="M21" s="103"/>
      <c r="N21" s="140"/>
      <c r="O21" s="50"/>
      <c r="P21" s="41"/>
      <c r="Q21" s="132"/>
      <c r="R21" s="41"/>
      <c r="S21" s="26"/>
      <c r="T21" s="26"/>
      <c r="U21" s="26"/>
      <c r="V21" s="26"/>
      <c r="Y21" s="205"/>
      <c r="Z21" s="205"/>
      <c r="AA21" s="205"/>
      <c r="AB21" s="205"/>
    </row>
    <row r="22" spans="1:34" s="132" customFormat="1" ht="45" customHeight="1">
      <c r="A22" s="97">
        <f t="shared" si="2"/>
        <v>8</v>
      </c>
      <c r="B22" s="98"/>
      <c r="C22" s="128"/>
      <c r="D22" s="98"/>
      <c r="E22" s="99"/>
      <c r="F22" s="100"/>
      <c r="G22" s="100"/>
      <c r="H22" s="100"/>
      <c r="I22" s="99"/>
      <c r="J22" s="99"/>
      <c r="K22" s="101">
        <v>0</v>
      </c>
      <c r="L22" s="102">
        <f t="shared" si="1"/>
        <v>0</v>
      </c>
      <c r="M22" s="103"/>
      <c r="N22" s="140"/>
      <c r="O22" s="50"/>
      <c r="Y22" s="205"/>
      <c r="Z22" s="205"/>
    </row>
    <row r="23" spans="1:34" s="132" customFormat="1" ht="45" customHeight="1">
      <c r="A23" s="97">
        <f t="shared" si="2"/>
        <v>9</v>
      </c>
      <c r="B23" s="98"/>
      <c r="C23" s="128"/>
      <c r="D23" s="98"/>
      <c r="E23" s="99"/>
      <c r="F23" s="100"/>
      <c r="G23" s="100"/>
      <c r="H23" s="100"/>
      <c r="I23" s="99"/>
      <c r="J23" s="99"/>
      <c r="K23" s="101">
        <v>0</v>
      </c>
      <c r="L23" s="102">
        <f t="shared" si="1"/>
        <v>0</v>
      </c>
      <c r="M23" s="103"/>
      <c r="N23" s="140"/>
      <c r="Y23" s="205"/>
      <c r="Z23" s="205"/>
      <c r="AA23" s="205"/>
      <c r="AB23" s="205"/>
    </row>
    <row r="24" spans="1:34" s="132" customFormat="1" ht="45" customHeight="1">
      <c r="A24" s="97">
        <f t="shared" si="2"/>
        <v>10</v>
      </c>
      <c r="B24" s="98"/>
      <c r="C24" s="128"/>
      <c r="D24" s="98"/>
      <c r="E24" s="99"/>
      <c r="F24" s="100"/>
      <c r="G24" s="100"/>
      <c r="H24" s="100"/>
      <c r="I24" s="99"/>
      <c r="J24" s="99"/>
      <c r="K24" s="101">
        <v>0</v>
      </c>
      <c r="L24" s="102">
        <f t="shared" si="1"/>
        <v>0</v>
      </c>
      <c r="M24" s="103"/>
      <c r="N24" s="140"/>
      <c r="Y24" s="205"/>
      <c r="Z24" s="205"/>
      <c r="AA24" s="205"/>
      <c r="AB24" s="205"/>
    </row>
    <row r="25" spans="1:34" ht="45" customHeight="1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32"/>
      <c r="N25" s="132"/>
      <c r="O25" s="50"/>
      <c r="P25" s="132"/>
      <c r="Q25" s="132"/>
      <c r="R25" s="41"/>
      <c r="S25" s="26"/>
      <c r="T25" s="26"/>
      <c r="U25" s="26"/>
      <c r="V25" s="26"/>
      <c r="Y25" s="38"/>
      <c r="Z25" s="38"/>
    </row>
    <row r="26" spans="1:34" ht="60.6" customHeight="1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9" t="s">
        <v>21</v>
      </c>
      <c r="L26" s="108">
        <f>SUM(L15:L24)</f>
        <v>1.0639000000000001</v>
      </c>
      <c r="M26" s="132"/>
      <c r="N26" s="40"/>
      <c r="O26" s="40"/>
      <c r="P26" s="26"/>
      <c r="Q26" s="132"/>
      <c r="R26" s="41"/>
      <c r="S26" s="26"/>
      <c r="T26" s="26"/>
      <c r="U26" s="132"/>
      <c r="V26" s="26"/>
      <c r="AC26" s="38"/>
    </row>
    <row r="27" spans="1:34" ht="77.25" customHeight="1">
      <c r="A27" s="222"/>
      <c r="B27" s="222"/>
      <c r="C27" s="222"/>
      <c r="D27" s="222"/>
      <c r="E27" s="222"/>
      <c r="F27" s="222"/>
      <c r="G27" s="222"/>
      <c r="H27" s="222"/>
      <c r="I27" s="222"/>
      <c r="J27" s="223"/>
      <c r="K27" s="110" t="s">
        <v>41</v>
      </c>
      <c r="L27" s="93">
        <v>1.5E-3</v>
      </c>
      <c r="M27" s="132"/>
      <c r="N27" s="43"/>
      <c r="O27" s="43"/>
      <c r="P27" s="26"/>
      <c r="Q27" s="44"/>
      <c r="R27" s="41"/>
      <c r="S27" s="26"/>
      <c r="T27" s="26"/>
      <c r="U27" s="132"/>
      <c r="V27" s="41"/>
      <c r="X27" s="32"/>
      <c r="Y27" s="7"/>
      <c r="AC27" s="49"/>
    </row>
    <row r="28" spans="1:34" ht="39.950000000000003" customHeight="1">
      <c r="A28" s="224" t="s">
        <v>22</v>
      </c>
      <c r="B28" s="224"/>
      <c r="C28" s="224"/>
      <c r="D28" s="224"/>
      <c r="E28" s="224"/>
      <c r="F28" s="135"/>
      <c r="G28" s="135"/>
      <c r="H28" s="135"/>
      <c r="I28" s="135"/>
      <c r="J28" s="114"/>
      <c r="K28" s="111" t="s">
        <v>42</v>
      </c>
      <c r="L28" s="101">
        <v>0.1</v>
      </c>
      <c r="M28" s="43"/>
      <c r="N28" s="43"/>
      <c r="O28" s="43"/>
      <c r="P28" s="26"/>
      <c r="U28" s="42"/>
      <c r="V28" s="7"/>
      <c r="X28" s="34"/>
      <c r="Y28" s="7"/>
      <c r="AC28" s="34"/>
    </row>
    <row r="29" spans="1:34" ht="59.25" customHeight="1">
      <c r="A29" s="225"/>
      <c r="B29" s="225"/>
      <c r="C29" s="225"/>
      <c r="D29" s="225"/>
      <c r="E29" s="225"/>
      <c r="F29" s="225"/>
      <c r="G29" s="225"/>
      <c r="H29" s="225"/>
      <c r="I29" s="135"/>
      <c r="J29" s="114"/>
      <c r="K29" s="112" t="s">
        <v>43</v>
      </c>
      <c r="L29" s="101">
        <v>0.1046</v>
      </c>
      <c r="M29" s="43"/>
      <c r="N29" s="43"/>
      <c r="O29" s="43"/>
      <c r="P29" s="26"/>
      <c r="Q29" s="132"/>
      <c r="U29" s="31"/>
      <c r="V29" s="41"/>
    </row>
    <row r="30" spans="1:34" ht="39.950000000000003" customHeight="1">
      <c r="A30" s="225"/>
      <c r="B30" s="225"/>
      <c r="C30" s="225"/>
      <c r="D30" s="225"/>
      <c r="E30" s="225"/>
      <c r="F30" s="225"/>
      <c r="G30" s="225"/>
      <c r="H30" s="225"/>
      <c r="I30" s="135"/>
      <c r="J30" s="114"/>
      <c r="K30" s="111"/>
      <c r="L30" s="101"/>
      <c r="M30" s="43"/>
      <c r="N30" s="43"/>
      <c r="O30" s="205"/>
      <c r="P30" s="205"/>
      <c r="Q30" s="205"/>
      <c r="U30" s="31"/>
      <c r="V30" s="41"/>
    </row>
    <row r="31" spans="1:34" ht="39.950000000000003" customHeight="1">
      <c r="A31" s="225"/>
      <c r="B31" s="225"/>
      <c r="C31" s="225"/>
      <c r="D31" s="225"/>
      <c r="E31" s="225"/>
      <c r="F31" s="225"/>
      <c r="G31" s="225"/>
      <c r="H31" s="225"/>
      <c r="I31" s="135"/>
      <c r="J31" s="114"/>
      <c r="K31" s="111" t="s">
        <v>44</v>
      </c>
      <c r="L31" s="101">
        <v>0.1137</v>
      </c>
      <c r="M31" s="43"/>
      <c r="N31" s="43"/>
      <c r="O31" s="205"/>
      <c r="P31" s="205"/>
      <c r="Q31" s="205"/>
      <c r="U31" s="132"/>
      <c r="V31" s="41"/>
    </row>
    <row r="32" spans="1:34" ht="39.950000000000003" customHeight="1">
      <c r="A32" s="135"/>
      <c r="B32" s="135"/>
      <c r="C32" s="135"/>
      <c r="D32" s="135"/>
      <c r="E32" s="135"/>
      <c r="F32" s="135"/>
      <c r="G32" s="135"/>
      <c r="H32" s="135"/>
      <c r="I32" s="135"/>
      <c r="J32" s="114"/>
      <c r="K32" s="111" t="s">
        <v>45</v>
      </c>
      <c r="L32" s="101">
        <v>9.0899999999999995E-2</v>
      </c>
      <c r="M32" s="43"/>
      <c r="N32" s="43"/>
      <c r="O32" s="43"/>
      <c r="P32" s="26"/>
      <c r="U32" s="132"/>
      <c r="V32" s="132"/>
    </row>
    <row r="33" spans="1:22" ht="55.9" customHeight="1">
      <c r="A33" s="135"/>
      <c r="B33" s="135"/>
      <c r="C33" s="135"/>
      <c r="D33" s="135"/>
      <c r="E33" s="135"/>
      <c r="F33" s="135"/>
      <c r="G33" s="135"/>
      <c r="H33" s="135"/>
      <c r="I33" s="135"/>
      <c r="J33" s="114"/>
      <c r="K33" s="112" t="s">
        <v>46</v>
      </c>
      <c r="L33" s="101">
        <v>0.05</v>
      </c>
      <c r="M33" s="43"/>
      <c r="N33" s="43"/>
      <c r="O33" s="43"/>
      <c r="P33" s="26"/>
      <c r="U33" s="31"/>
      <c r="V33" s="41"/>
    </row>
    <row r="34" spans="1:22" ht="39.950000000000003" customHeight="1">
      <c r="A34" s="135"/>
      <c r="B34" s="135"/>
      <c r="C34" s="135"/>
      <c r="D34" s="135"/>
      <c r="E34" s="135"/>
      <c r="F34" s="135"/>
      <c r="G34" s="135"/>
      <c r="H34" s="135"/>
      <c r="I34" s="135"/>
      <c r="J34" s="114"/>
      <c r="K34" s="112"/>
      <c r="L34" s="101"/>
      <c r="M34" s="43"/>
      <c r="N34" s="43"/>
      <c r="O34" s="43"/>
      <c r="P34" s="26"/>
    </row>
    <row r="35" spans="1:22" ht="45.2" customHeight="1">
      <c r="A35" s="135"/>
      <c r="B35" s="135"/>
      <c r="C35" s="135"/>
      <c r="D35" s="135"/>
      <c r="E35" s="135"/>
      <c r="F35" s="135"/>
      <c r="G35" s="135"/>
      <c r="H35" s="135"/>
      <c r="I35" s="135"/>
      <c r="J35" s="114"/>
      <c r="K35" s="113" t="s">
        <v>47</v>
      </c>
      <c r="L35" s="129">
        <f>SUM(L26:L33)</f>
        <v>1.5246000000000002</v>
      </c>
      <c r="M35" s="43"/>
      <c r="N35" s="43"/>
      <c r="O35" s="43"/>
      <c r="P35" s="26"/>
    </row>
    <row r="36" spans="1:22" ht="39.950000000000003" customHeight="1">
      <c r="A36" s="135"/>
      <c r="B36" s="135"/>
      <c r="C36" s="135"/>
      <c r="D36" s="135"/>
      <c r="E36" s="135"/>
      <c r="F36" s="135"/>
      <c r="G36" s="135"/>
      <c r="H36" s="135"/>
      <c r="I36" s="135"/>
      <c r="J36" s="115"/>
      <c r="K36" s="113" t="s">
        <v>48</v>
      </c>
      <c r="L36" s="108">
        <v>7.4999999999999997E-2</v>
      </c>
      <c r="M36" s="43"/>
      <c r="N36" s="43"/>
      <c r="O36" s="43"/>
      <c r="P36" s="26"/>
    </row>
    <row r="37" spans="1:22" ht="45.2" customHeight="1">
      <c r="A37" s="135"/>
      <c r="B37" s="135"/>
      <c r="C37" s="135"/>
      <c r="D37" s="135"/>
      <c r="E37" s="135"/>
      <c r="F37" s="135"/>
      <c r="G37" s="135"/>
      <c r="H37" s="135"/>
      <c r="I37" s="135"/>
      <c r="J37" s="116"/>
      <c r="K37" s="113" t="s">
        <v>49</v>
      </c>
      <c r="L37" s="129">
        <f>L35+L36</f>
        <v>1.5996000000000001</v>
      </c>
      <c r="M37" s="43"/>
      <c r="N37" s="43"/>
      <c r="O37" s="43"/>
      <c r="P37" s="26"/>
      <c r="S37" s="7"/>
    </row>
    <row r="38" spans="1:22" ht="39.950000000000003" customHeight="1">
      <c r="A38" s="135"/>
      <c r="B38" s="135"/>
      <c r="C38" s="135"/>
      <c r="D38" s="135"/>
      <c r="E38" s="135"/>
      <c r="F38" s="135"/>
      <c r="G38" s="135"/>
      <c r="H38" s="135"/>
      <c r="I38" s="135"/>
      <c r="J38" s="117"/>
      <c r="K38" s="4"/>
      <c r="L38" s="132"/>
      <c r="M38" s="4"/>
      <c r="N38" s="4"/>
      <c r="O38" s="4"/>
      <c r="P38" s="4"/>
    </row>
    <row r="39" spans="1:22" ht="39.950000000000003" customHeight="1">
      <c r="A39" s="135"/>
      <c r="B39" s="135"/>
      <c r="C39" s="135"/>
      <c r="D39" s="135"/>
      <c r="E39" s="135"/>
      <c r="F39" s="135"/>
      <c r="G39" s="135"/>
      <c r="H39" s="135"/>
      <c r="I39" s="135"/>
      <c r="J39" s="117"/>
      <c r="K39" s="4"/>
      <c r="L39" s="132"/>
      <c r="M39" s="4"/>
      <c r="N39" s="4"/>
      <c r="O39" s="4"/>
      <c r="P39" s="4"/>
    </row>
    <row r="40" spans="1:22" ht="39.950000000000003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32"/>
      <c r="M40" s="4"/>
      <c r="N40" s="4"/>
      <c r="O40" s="4"/>
      <c r="P40" s="4"/>
    </row>
    <row r="41" spans="1:22" ht="39.950000000000003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32"/>
      <c r="M41" s="4"/>
      <c r="N41" s="4"/>
      <c r="O41" s="4"/>
      <c r="P41" s="4"/>
    </row>
    <row r="42" spans="1:22" ht="39.950000000000003" customHeight="1">
      <c r="A42" s="52" t="s">
        <v>23</v>
      </c>
      <c r="B42" s="53"/>
      <c r="C42" s="53"/>
      <c r="D42" s="53"/>
      <c r="E42" s="53"/>
      <c r="F42" s="53"/>
      <c r="G42" s="53"/>
      <c r="H42" s="53"/>
      <c r="I42" s="53"/>
      <c r="J42" s="54"/>
      <c r="K42" s="4"/>
      <c r="L42" s="132"/>
      <c r="M42" s="132"/>
      <c r="N42" s="4"/>
      <c r="O42" s="4"/>
      <c r="P42" s="4"/>
    </row>
    <row r="43" spans="1:22" ht="26.25">
      <c r="A43" s="55"/>
      <c r="B43" s="56"/>
      <c r="C43" s="56"/>
      <c r="D43" s="56"/>
      <c r="E43" s="56"/>
      <c r="F43" s="56"/>
      <c r="G43" s="56"/>
      <c r="H43" s="56"/>
      <c r="I43" s="56"/>
      <c r="J43" s="57"/>
      <c r="K43" s="4"/>
      <c r="L43" s="132"/>
      <c r="M43" s="4"/>
      <c r="N43" s="4"/>
      <c r="O43" s="4"/>
      <c r="P43" s="4"/>
    </row>
    <row r="44" spans="1:22" ht="26.25">
      <c r="A44" s="58"/>
      <c r="B44" s="59"/>
      <c r="C44" s="59"/>
      <c r="D44" s="59"/>
      <c r="E44" s="59"/>
      <c r="F44" s="59"/>
      <c r="G44" s="59"/>
      <c r="H44" s="59"/>
      <c r="I44" s="59"/>
      <c r="J44" s="60"/>
      <c r="K44" s="4"/>
      <c r="L44" s="4"/>
      <c r="M44" s="4"/>
      <c r="N44" s="4"/>
      <c r="O44" s="4"/>
      <c r="P44" s="4"/>
    </row>
    <row r="45" spans="1:22">
      <c r="A45" s="61"/>
      <c r="B45" s="62"/>
      <c r="C45" s="62"/>
      <c r="D45" s="62"/>
      <c r="E45" s="62"/>
      <c r="F45" s="62"/>
      <c r="G45" s="62"/>
      <c r="H45" s="62"/>
      <c r="I45" s="62"/>
      <c r="J45" s="63"/>
      <c r="K45" s="4"/>
      <c r="L45" s="4"/>
      <c r="M45" s="4"/>
      <c r="N45" s="4"/>
      <c r="O45" s="4"/>
      <c r="P45" s="4"/>
    </row>
    <row r="46" spans="1:22" ht="26.25">
      <c r="A46" s="132" t="s">
        <v>24</v>
      </c>
      <c r="B46" s="132"/>
      <c r="C46" s="132"/>
      <c r="D46" s="132"/>
      <c r="E46" s="132"/>
      <c r="F46" s="132"/>
      <c r="G46" s="132"/>
      <c r="H46" s="132"/>
      <c r="I46" s="132"/>
      <c r="J46" s="54"/>
    </row>
    <row r="47" spans="1:22">
      <c r="A47" s="205"/>
      <c r="B47" s="205"/>
      <c r="C47" s="205"/>
      <c r="D47" s="205"/>
      <c r="E47" s="205"/>
      <c r="F47" s="205"/>
      <c r="G47" s="205"/>
      <c r="H47" s="205"/>
      <c r="I47" s="132"/>
      <c r="J47" s="132"/>
    </row>
    <row r="48" spans="1:22" ht="18">
      <c r="A48" s="64"/>
      <c r="B48" s="64"/>
      <c r="C48" s="64"/>
      <c r="D48" s="64"/>
      <c r="E48" s="64"/>
      <c r="F48" s="64"/>
      <c r="G48" s="64"/>
      <c r="H48" s="64"/>
      <c r="I48" s="64"/>
      <c r="J48" s="64"/>
    </row>
    <row r="49" spans="1:12">
      <c r="A49" s="62"/>
      <c r="B49" s="62"/>
      <c r="C49" s="62"/>
      <c r="D49" s="62"/>
      <c r="E49" s="62"/>
      <c r="F49" s="62"/>
      <c r="G49" s="62"/>
      <c r="H49" s="62"/>
      <c r="I49" s="62"/>
      <c r="J49" s="62"/>
    </row>
    <row r="50" spans="1:12" ht="26.25">
      <c r="A50" s="52" t="s">
        <v>55</v>
      </c>
      <c r="B50" s="53"/>
      <c r="C50" s="53"/>
      <c r="D50" s="53"/>
      <c r="E50" s="53"/>
      <c r="F50" s="53"/>
      <c r="G50" s="53"/>
      <c r="H50" s="53"/>
      <c r="I50" s="53"/>
      <c r="J50" s="54"/>
    </row>
    <row r="51" spans="1:12" ht="26.25">
      <c r="A51" s="65" t="s">
        <v>40</v>
      </c>
      <c r="B51" s="66"/>
      <c r="C51" s="66"/>
      <c r="D51" s="66"/>
      <c r="E51" s="66"/>
      <c r="F51" s="66"/>
      <c r="G51" s="66"/>
      <c r="H51" s="66"/>
      <c r="I51" s="66"/>
      <c r="J51" s="67"/>
    </row>
    <row r="52" spans="1:12" ht="26.25">
      <c r="A52" s="68" t="s">
        <v>40</v>
      </c>
      <c r="B52" s="69"/>
      <c r="C52" s="69"/>
      <c r="D52" s="69"/>
      <c r="E52" s="69"/>
      <c r="F52" s="69"/>
      <c r="G52" s="69"/>
      <c r="H52" s="69"/>
      <c r="I52" s="69"/>
      <c r="J52" s="70"/>
    </row>
    <row r="53" spans="1:12" ht="26.25">
      <c r="A53" s="71"/>
      <c r="B53" s="69"/>
      <c r="C53" s="69"/>
      <c r="D53" s="69"/>
      <c r="E53" s="69"/>
      <c r="F53" s="69"/>
      <c r="G53" s="69"/>
      <c r="H53" s="69"/>
      <c r="I53" s="69"/>
      <c r="J53" s="70"/>
    </row>
    <row r="54" spans="1:12" ht="26.25">
      <c r="A54" s="72"/>
      <c r="B54" s="73"/>
      <c r="C54" s="73"/>
      <c r="D54" s="73"/>
      <c r="E54" s="73"/>
      <c r="F54" s="73"/>
      <c r="G54" s="73"/>
      <c r="H54" s="73"/>
      <c r="I54" s="73"/>
      <c r="J54" s="132"/>
    </row>
    <row r="56" spans="1:12" ht="26.25">
      <c r="A56" s="118" t="s">
        <v>25</v>
      </c>
      <c r="B56" s="119"/>
      <c r="C56" s="119"/>
      <c r="D56" s="119"/>
      <c r="E56" s="119"/>
      <c r="F56" s="120"/>
      <c r="H56" s="124" t="s">
        <v>26</v>
      </c>
      <c r="I56" s="132"/>
      <c r="J56" s="132"/>
    </row>
    <row r="57" spans="1:12" ht="39.950000000000003" customHeight="1">
      <c r="A57" s="104" t="s">
        <v>12</v>
      </c>
      <c r="B57" s="104" t="s">
        <v>27</v>
      </c>
      <c r="C57" s="104" t="s">
        <v>51</v>
      </c>
      <c r="D57" s="104" t="s">
        <v>52</v>
      </c>
      <c r="E57" s="104" t="s">
        <v>53</v>
      </c>
      <c r="F57" s="136" t="s">
        <v>17</v>
      </c>
      <c r="G57" s="122"/>
      <c r="H57" s="133" t="s">
        <v>28</v>
      </c>
      <c r="I57" s="132"/>
      <c r="J57" s="132"/>
    </row>
    <row r="58" spans="1:12" ht="39.950000000000003" customHeight="1">
      <c r="A58" s="104">
        <v>1</v>
      </c>
      <c r="B58" s="107">
        <v>5</v>
      </c>
      <c r="C58" s="125">
        <v>100</v>
      </c>
      <c r="D58" s="107" t="s">
        <v>32</v>
      </c>
      <c r="E58" s="125">
        <f>B58*C58</f>
        <v>500</v>
      </c>
      <c r="F58" s="226" t="s">
        <v>50</v>
      </c>
      <c r="G58" s="226"/>
      <c r="H58" s="15" t="s">
        <v>37</v>
      </c>
      <c r="I58" s="132"/>
      <c r="J58" s="132"/>
    </row>
    <row r="59" spans="1:12" ht="39.950000000000003" customHeight="1">
      <c r="A59" s="104">
        <v>2</v>
      </c>
      <c r="B59" s="107">
        <v>2</v>
      </c>
      <c r="C59" s="125">
        <v>450</v>
      </c>
      <c r="D59" s="107" t="s">
        <v>32</v>
      </c>
      <c r="E59" s="125">
        <f>B59*C59</f>
        <v>900</v>
      </c>
      <c r="F59" s="226" t="s">
        <v>118</v>
      </c>
      <c r="G59" s="226"/>
      <c r="H59" s="15" t="s">
        <v>29</v>
      </c>
      <c r="I59" s="132"/>
      <c r="J59" s="132"/>
    </row>
    <row r="60" spans="1:12" ht="39.950000000000003" customHeight="1">
      <c r="A60" s="104">
        <v>3</v>
      </c>
      <c r="B60" s="107">
        <v>1</v>
      </c>
      <c r="C60" s="125">
        <v>500</v>
      </c>
      <c r="D60" s="107" t="s">
        <v>32</v>
      </c>
      <c r="E60" s="125">
        <f>B60*C60</f>
        <v>500</v>
      </c>
      <c r="F60" s="226" t="s">
        <v>54</v>
      </c>
      <c r="G60" s="226"/>
      <c r="H60" s="133" t="s">
        <v>30</v>
      </c>
      <c r="I60" s="132"/>
      <c r="J60" s="132"/>
    </row>
    <row r="61" spans="1:12" ht="39.950000000000003" customHeight="1">
      <c r="A61" s="104">
        <v>4</v>
      </c>
      <c r="B61" s="107"/>
      <c r="C61" s="125"/>
      <c r="D61" s="107"/>
      <c r="E61" s="125"/>
      <c r="F61" s="226"/>
      <c r="G61" s="226"/>
      <c r="H61" s="26"/>
      <c r="I61" s="26"/>
      <c r="J61" s="26"/>
    </row>
    <row r="62" spans="1:12" ht="39.950000000000003" customHeight="1">
      <c r="A62" s="104">
        <v>5</v>
      </c>
      <c r="B62" s="107"/>
      <c r="C62" s="125"/>
      <c r="D62" s="107"/>
      <c r="E62" s="125"/>
      <c r="F62" s="226"/>
      <c r="G62" s="226"/>
      <c r="H62" s="123" t="s">
        <v>31</v>
      </c>
      <c r="I62" s="132"/>
      <c r="J62" s="132"/>
    </row>
    <row r="63" spans="1:12" ht="39.950000000000003" customHeight="1">
      <c r="A63" s="104">
        <v>6</v>
      </c>
      <c r="B63" s="107">
        <v>0</v>
      </c>
      <c r="C63" s="107"/>
      <c r="D63" s="107" t="s">
        <v>32</v>
      </c>
      <c r="E63" s="125"/>
      <c r="F63" s="226"/>
      <c r="G63" s="226"/>
      <c r="H63" s="227" t="s">
        <v>121</v>
      </c>
      <c r="I63" s="228"/>
      <c r="J63" s="228"/>
      <c r="K63" s="228"/>
      <c r="L63" s="228"/>
    </row>
    <row r="64" spans="1:12" ht="39.950000000000003" customHeight="1">
      <c r="A64" s="104"/>
      <c r="B64" s="104"/>
      <c r="C64" s="104"/>
      <c r="D64" s="104"/>
      <c r="E64" s="126">
        <f>SUM(E58:E63)</f>
        <v>1900</v>
      </c>
      <c r="F64" s="136"/>
      <c r="G64" s="122"/>
      <c r="H64" s="228"/>
      <c r="I64" s="228"/>
      <c r="J64" s="228"/>
      <c r="K64" s="228"/>
      <c r="L64" s="228"/>
    </row>
    <row r="65" spans="1:12">
      <c r="A65" s="132"/>
      <c r="B65" s="132"/>
      <c r="C65" s="132"/>
      <c r="D65" s="132"/>
      <c r="E65" s="132"/>
      <c r="F65" s="132"/>
      <c r="H65" s="228"/>
      <c r="I65" s="228"/>
      <c r="J65" s="228"/>
      <c r="K65" s="228"/>
      <c r="L65" s="228"/>
    </row>
    <row r="66" spans="1:12">
      <c r="A66" s="132"/>
      <c r="B66" s="132"/>
      <c r="C66" s="132"/>
      <c r="D66" s="132"/>
      <c r="E66" s="132"/>
      <c r="F66" s="132"/>
      <c r="H66" s="228"/>
      <c r="I66" s="228"/>
      <c r="J66" s="228"/>
      <c r="K66" s="228"/>
      <c r="L66" s="228"/>
    </row>
    <row r="67" spans="1:12" ht="30" customHeight="1">
      <c r="A67" s="132"/>
      <c r="B67" s="132"/>
      <c r="C67" s="132"/>
      <c r="D67" s="132"/>
      <c r="E67" s="132"/>
      <c r="F67" s="132"/>
      <c r="H67" s="228"/>
      <c r="I67" s="228"/>
      <c r="J67" s="228"/>
      <c r="K67" s="228"/>
      <c r="L67" s="228"/>
    </row>
    <row r="68" spans="1:12" ht="30" customHeight="1">
      <c r="A68" s="132"/>
      <c r="B68" s="132"/>
      <c r="C68" s="132"/>
      <c r="D68" s="132"/>
      <c r="E68" s="132"/>
      <c r="F68" s="132"/>
      <c r="H68" s="228"/>
      <c r="I68" s="228"/>
      <c r="J68" s="228"/>
      <c r="K68" s="228"/>
      <c r="L68" s="228"/>
    </row>
    <row r="69" spans="1:12" ht="30" customHeight="1">
      <c r="A69" s="132"/>
      <c r="B69" s="132"/>
      <c r="C69" s="132"/>
      <c r="D69" s="132"/>
      <c r="E69" s="132"/>
      <c r="F69" s="132"/>
      <c r="H69" s="228"/>
      <c r="I69" s="228"/>
      <c r="J69" s="228"/>
      <c r="K69" s="228"/>
      <c r="L69" s="228"/>
    </row>
    <row r="70" spans="1:12" ht="30" customHeight="1">
      <c r="A70" s="132"/>
      <c r="B70" s="132"/>
      <c r="C70" s="132"/>
      <c r="D70" s="132"/>
      <c r="E70" s="132"/>
      <c r="F70" s="132"/>
      <c r="H70" s="228"/>
      <c r="I70" s="228"/>
      <c r="J70" s="228"/>
      <c r="K70" s="228"/>
      <c r="L70" s="228"/>
    </row>
    <row r="71" spans="1:12" ht="30" customHeight="1">
      <c r="A71" s="26"/>
      <c r="B71" s="45"/>
      <c r="C71" s="45"/>
      <c r="D71" s="132"/>
      <c r="E71" s="132"/>
      <c r="F71" s="26"/>
      <c r="H71" s="228"/>
      <c r="I71" s="228"/>
      <c r="J71" s="228"/>
      <c r="K71" s="228"/>
      <c r="L71" s="228"/>
    </row>
    <row r="72" spans="1:12" ht="30" customHeight="1">
      <c r="A72" s="26"/>
      <c r="B72" s="45"/>
      <c r="C72" s="45"/>
      <c r="D72" s="132"/>
      <c r="E72" s="132"/>
      <c r="F72" s="26"/>
      <c r="H72" s="228"/>
      <c r="I72" s="228"/>
      <c r="J72" s="228"/>
      <c r="K72" s="228"/>
      <c r="L72" s="228"/>
    </row>
    <row r="73" spans="1:12" ht="30" customHeight="1">
      <c r="H73" s="228"/>
      <c r="I73" s="228"/>
      <c r="J73" s="228"/>
      <c r="K73" s="228"/>
      <c r="L73" s="228"/>
    </row>
    <row r="74" spans="1:12" ht="30" customHeight="1">
      <c r="H74" s="228"/>
      <c r="I74" s="228"/>
      <c r="J74" s="228"/>
      <c r="K74" s="228"/>
      <c r="L74" s="228"/>
    </row>
    <row r="75" spans="1:12" ht="30" customHeight="1">
      <c r="H75" s="228"/>
      <c r="I75" s="228"/>
      <c r="J75" s="228"/>
      <c r="K75" s="228"/>
      <c r="L75" s="228"/>
    </row>
    <row r="76" spans="1:12" ht="30" customHeight="1">
      <c r="H76" s="228"/>
      <c r="I76" s="228"/>
      <c r="J76" s="228"/>
      <c r="K76" s="228"/>
      <c r="L76" s="228"/>
    </row>
  </sheetData>
  <mergeCells count="31">
    <mergeCell ref="F63:G63"/>
    <mergeCell ref="H63:L76"/>
    <mergeCell ref="A47:H47"/>
    <mergeCell ref="F58:G58"/>
    <mergeCell ref="F59:G59"/>
    <mergeCell ref="F60:G60"/>
    <mergeCell ref="F61:G61"/>
    <mergeCell ref="F62:G62"/>
    <mergeCell ref="A27:J27"/>
    <mergeCell ref="A28:E28"/>
    <mergeCell ref="A29:H29"/>
    <mergeCell ref="A30:H30"/>
    <mergeCell ref="O30:Q31"/>
    <mergeCell ref="A31:H31"/>
    <mergeCell ref="Y14:AB14"/>
    <mergeCell ref="Y15:AB21"/>
    <mergeCell ref="Y22:Z22"/>
    <mergeCell ref="Y23:AB24"/>
    <mergeCell ref="J6:M8"/>
    <mergeCell ref="A7:B7"/>
    <mergeCell ref="A9:B9"/>
    <mergeCell ref="A12:G12"/>
    <mergeCell ref="H12:M12"/>
    <mergeCell ref="K13:L13"/>
    <mergeCell ref="A6:B6"/>
    <mergeCell ref="C6:G6"/>
    <mergeCell ref="A3:B3"/>
    <mergeCell ref="C3:H3"/>
    <mergeCell ref="A4:B4"/>
    <mergeCell ref="C4:H4"/>
    <mergeCell ref="A5:B5"/>
  </mergeCells>
  <printOptions horizontalCentered="1"/>
  <pageMargins left="0.2" right="0.2" top="0.28000000000000003" bottom="0.28000000000000003" header="0.2" footer="0.2"/>
  <pageSetup scale="3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87"/>
  <sheetViews>
    <sheetView tabSelected="1" zoomScale="55" zoomScaleNormal="55" workbookViewId="0">
      <selection activeCell="G19" sqref="G19"/>
    </sheetView>
  </sheetViews>
  <sheetFormatPr defaultRowHeight="15"/>
  <cols>
    <col min="1" max="1" width="11.44140625" style="8" customWidth="1"/>
    <col min="2" max="2" width="13.44140625" style="8" customWidth="1"/>
    <col min="3" max="3" width="18.109375" style="8" customWidth="1"/>
    <col min="4" max="4" width="10.88671875" style="46" bestFit="1" customWidth="1"/>
    <col min="5" max="5" width="9.77734375" style="46" customWidth="1"/>
    <col min="6" max="6" width="20.88671875" style="46" customWidth="1"/>
    <col min="7" max="7" width="35.109375" style="47" customWidth="1"/>
    <col min="8" max="8" width="42.21875" style="47" customWidth="1"/>
    <col min="9" max="9" width="17.44140625" style="47" customWidth="1"/>
    <col min="10" max="10" width="9.6640625" style="47" customWidth="1"/>
    <col min="11" max="11" width="14.5546875" style="8" customWidth="1"/>
    <col min="12" max="12" width="14.21875" style="48" customWidth="1"/>
    <col min="13" max="13" width="40.109375" style="8" customWidth="1"/>
    <col min="14" max="14" width="1.77734375" style="8" customWidth="1"/>
    <col min="15" max="15" width="18.88671875" style="8" customWidth="1"/>
    <col min="16" max="16" width="9.88671875" style="8" customWidth="1"/>
    <col min="17" max="17" width="10.77734375" style="6" customWidth="1"/>
    <col min="18" max="18" width="10.77734375" style="7" customWidth="1"/>
    <col min="19" max="19" width="9.5546875" style="8" customWidth="1"/>
    <col min="20" max="20" width="7.6640625" style="8" customWidth="1"/>
    <col min="21" max="21" width="8.88671875" style="8" customWidth="1"/>
    <col min="22" max="22" width="9" style="8" customWidth="1"/>
    <col min="23" max="23" width="8.77734375" style="8" customWidth="1"/>
    <col min="24" max="24" width="12.21875" style="8" customWidth="1"/>
    <col min="25" max="28" width="9.88671875" style="8" customWidth="1"/>
    <col min="29" max="30" width="8.77734375" style="8" customWidth="1"/>
    <col min="31" max="31" width="8.109375" style="8" bestFit="1" customWidth="1"/>
    <col min="32" max="34" width="16.44140625" style="8" customWidth="1"/>
    <col min="35" max="16384" width="8.88671875" style="8"/>
  </cols>
  <sheetData>
    <row r="1" spans="1:34" ht="35.25" customHeight="1">
      <c r="A1" s="1" t="s">
        <v>0</v>
      </c>
      <c r="B1" s="2"/>
      <c r="C1" s="2"/>
      <c r="D1" s="3"/>
      <c r="E1" s="3"/>
      <c r="F1" s="4"/>
      <c r="G1" s="75" t="s">
        <v>1</v>
      </c>
      <c r="H1" s="137">
        <v>42585</v>
      </c>
      <c r="I1"/>
      <c r="J1" s="5"/>
      <c r="K1" s="4"/>
      <c r="L1" s="4"/>
      <c r="M1" s="4"/>
      <c r="N1" s="4"/>
      <c r="O1" s="4"/>
      <c r="P1" s="4"/>
    </row>
    <row r="2" spans="1:34" ht="35.25" customHeight="1">
      <c r="A2" s="9"/>
      <c r="B2" s="4"/>
      <c r="C2" s="4"/>
      <c r="D2" s="4"/>
      <c r="E2" s="4"/>
      <c r="F2" s="4"/>
      <c r="G2" s="10"/>
      <c r="H2" s="11"/>
      <c r="I2" s="11"/>
      <c r="J2" s="11"/>
      <c r="K2" s="4"/>
      <c r="L2" s="4"/>
      <c r="M2" s="4"/>
      <c r="N2" s="4"/>
      <c r="O2" s="4"/>
      <c r="P2" s="4"/>
    </row>
    <row r="3" spans="1:34" ht="35.25" customHeight="1">
      <c r="A3" s="206" t="s">
        <v>2</v>
      </c>
      <c r="B3" s="206"/>
      <c r="C3" s="207" t="s">
        <v>57</v>
      </c>
      <c r="D3" s="207"/>
      <c r="E3" s="207"/>
      <c r="F3" s="207"/>
      <c r="G3" s="207"/>
      <c r="H3" s="207"/>
      <c r="I3"/>
      <c r="J3" s="13"/>
      <c r="K3" s="14"/>
      <c r="L3" s="15"/>
      <c r="M3" s="16"/>
      <c r="N3" s="16"/>
      <c r="O3" s="16"/>
      <c r="P3" s="17"/>
    </row>
    <row r="4" spans="1:34" ht="35.25" customHeight="1">
      <c r="A4" s="206" t="s">
        <v>3</v>
      </c>
      <c r="B4" s="206"/>
      <c r="C4" s="207" t="s">
        <v>73</v>
      </c>
      <c r="D4" s="207"/>
      <c r="E4" s="207"/>
      <c r="F4" s="207"/>
      <c r="G4" s="207"/>
      <c r="H4" s="207"/>
      <c r="I4"/>
      <c r="J4" s="13"/>
      <c r="K4" s="18"/>
      <c r="L4" s="15"/>
      <c r="M4" s="19"/>
      <c r="N4" s="19"/>
      <c r="O4" s="19"/>
      <c r="P4" s="17"/>
    </row>
    <row r="5" spans="1:34" ht="45" customHeight="1" thickBot="1">
      <c r="A5" s="208" t="s">
        <v>4</v>
      </c>
      <c r="B5" s="208"/>
      <c r="C5" s="77"/>
      <c r="D5" s="20"/>
      <c r="E5"/>
      <c r="F5" s="76" t="s">
        <v>5</v>
      </c>
      <c r="G5" s="137">
        <v>43252</v>
      </c>
      <c r="H5"/>
      <c r="I5"/>
      <c r="J5" s="13"/>
      <c r="K5" s="18"/>
      <c r="L5" s="15"/>
      <c r="M5" s="19"/>
      <c r="N5" s="19"/>
      <c r="O5" s="19"/>
      <c r="P5" s="17"/>
    </row>
    <row r="6" spans="1:34" ht="78.2" customHeight="1" thickTop="1">
      <c r="A6" s="204" t="s">
        <v>6</v>
      </c>
      <c r="B6" s="204"/>
      <c r="C6" s="205" t="s">
        <v>40</v>
      </c>
      <c r="D6" s="205"/>
      <c r="E6" s="205"/>
      <c r="F6" s="205"/>
      <c r="G6" s="205"/>
      <c r="H6"/>
      <c r="I6" s="74" t="s">
        <v>7</v>
      </c>
      <c r="J6" s="213" t="s">
        <v>68</v>
      </c>
      <c r="K6" s="214"/>
      <c r="L6" s="214"/>
      <c r="M6" s="215"/>
      <c r="N6"/>
      <c r="P6" s="17"/>
    </row>
    <row r="7" spans="1:34" ht="28.5" customHeight="1">
      <c r="A7" s="208" t="s">
        <v>8</v>
      </c>
      <c r="B7" s="208"/>
      <c r="C7" s="138">
        <v>400000</v>
      </c>
      <c r="D7" s="78"/>
      <c r="E7" s="79"/>
      <c r="F7" s="79"/>
      <c r="G7" s="80"/>
      <c r="H7" s="13"/>
      <c r="I7" s="13"/>
      <c r="J7" s="216"/>
      <c r="K7" s="217"/>
      <c r="L7" s="217"/>
      <c r="M7" s="218"/>
      <c r="N7" s="17"/>
      <c r="O7" s="17"/>
      <c r="P7" s="17"/>
    </row>
    <row r="8" spans="1:34" ht="15" customHeight="1" thickBot="1">
      <c r="A8" s="12"/>
      <c r="B8" s="89"/>
      <c r="C8" s="81"/>
      <c r="D8" s="79"/>
      <c r="E8" s="79"/>
      <c r="F8" s="79"/>
      <c r="G8" s="80"/>
      <c r="H8" s="13"/>
      <c r="I8" s="13"/>
      <c r="J8" s="219"/>
      <c r="K8" s="220"/>
      <c r="L8" s="220"/>
      <c r="M8" s="221"/>
      <c r="N8" s="24"/>
      <c r="O8" s="24"/>
      <c r="P8" s="17"/>
    </row>
    <row r="9" spans="1:34" ht="28.5" customHeight="1" thickTop="1">
      <c r="A9" s="208" t="s">
        <v>33</v>
      </c>
      <c r="B9" s="208"/>
      <c r="C9" s="87" t="s">
        <v>56</v>
      </c>
      <c r="D9" s="78"/>
      <c r="E9" s="79"/>
      <c r="F9" s="79"/>
      <c r="G9" s="80"/>
      <c r="H9" s="131"/>
      <c r="I9" s="13"/>
      <c r="J9" s="13"/>
      <c r="K9" s="17"/>
      <c r="L9" s="17"/>
      <c r="M9" s="17"/>
      <c r="N9" s="17"/>
      <c r="O9" s="17"/>
      <c r="P9" s="17"/>
    </row>
    <row r="10" spans="1:34" ht="28.5" customHeight="1">
      <c r="A10" s="9"/>
      <c r="B10" s="12"/>
      <c r="C10"/>
      <c r="D10"/>
      <c r="E10" s="22"/>
      <c r="F10" s="22"/>
      <c r="G10" s="21"/>
      <c r="H10" s="13"/>
      <c r="I10" s="13"/>
      <c r="J10" s="13"/>
      <c r="K10" s="17"/>
      <c r="L10" s="17"/>
      <c r="M10" s="17"/>
      <c r="N10" s="17"/>
      <c r="O10" s="17"/>
      <c r="P10" s="17"/>
    </row>
    <row r="11" spans="1:34" ht="15" customHeight="1">
      <c r="A11" s="9"/>
      <c r="B11" s="17"/>
      <c r="C11" s="17"/>
      <c r="D11" s="22"/>
      <c r="E11" s="22"/>
      <c r="F11" s="22"/>
      <c r="G11" s="21"/>
      <c r="H11" s="13"/>
      <c r="I11" s="13"/>
      <c r="J11" s="13"/>
      <c r="K11" s="23"/>
      <c r="L11" s="17"/>
      <c r="M11" s="24"/>
      <c r="N11" s="24"/>
      <c r="O11" s="24"/>
      <c r="P11" s="17"/>
    </row>
    <row r="12" spans="1:34" ht="30" customHeight="1" thickBot="1">
      <c r="A12" s="209" t="s">
        <v>9</v>
      </c>
      <c r="B12" s="209"/>
      <c r="C12" s="209"/>
      <c r="D12" s="209"/>
      <c r="E12" s="209"/>
      <c r="F12" s="209"/>
      <c r="G12" s="209"/>
      <c r="H12" s="210" t="s">
        <v>10</v>
      </c>
      <c r="I12" s="210"/>
      <c r="J12" s="210"/>
      <c r="K12" s="210"/>
      <c r="L12" s="210"/>
      <c r="M12" s="210"/>
      <c r="N12" s="25"/>
      <c r="O12" s="25"/>
      <c r="P12" s="17"/>
    </row>
    <row r="13" spans="1:34" ht="45.2" customHeight="1" thickBot="1">
      <c r="A13" s="82"/>
      <c r="B13" s="82"/>
      <c r="C13" s="82"/>
      <c r="D13" s="83"/>
      <c r="E13" s="83"/>
      <c r="F13" s="83"/>
      <c r="G13" s="83"/>
      <c r="H13" s="84"/>
      <c r="I13" s="85"/>
      <c r="J13" s="85"/>
      <c r="K13" s="211" t="s">
        <v>11</v>
      </c>
      <c r="L13" s="212"/>
      <c r="M13" s="26"/>
      <c r="N13" s="26"/>
      <c r="O13" s="26"/>
      <c r="P13" s="26"/>
    </row>
    <row r="14" spans="1:34" ht="81.2" customHeight="1" thickBot="1">
      <c r="A14" s="86" t="s">
        <v>39</v>
      </c>
      <c r="B14" s="86" t="s">
        <v>35</v>
      </c>
      <c r="C14" s="86" t="s">
        <v>13</v>
      </c>
      <c r="D14" s="86" t="s">
        <v>14</v>
      </c>
      <c r="E14" s="86" t="s">
        <v>15</v>
      </c>
      <c r="F14" s="86" t="s">
        <v>34</v>
      </c>
      <c r="G14" s="86" t="s">
        <v>16</v>
      </c>
      <c r="H14" s="86" t="s">
        <v>17</v>
      </c>
      <c r="I14" s="86" t="s">
        <v>38</v>
      </c>
      <c r="J14" s="86" t="s">
        <v>36</v>
      </c>
      <c r="K14" s="86" t="s">
        <v>18</v>
      </c>
      <c r="L14" s="86" t="s">
        <v>19</v>
      </c>
      <c r="M14" s="86" t="s">
        <v>20</v>
      </c>
      <c r="N14" s="27"/>
      <c r="O14" s="28" t="s">
        <v>40</v>
      </c>
      <c r="P14" s="28"/>
      <c r="Q14" s="29"/>
      <c r="R14" s="30"/>
      <c r="S14" s="51"/>
      <c r="T14" s="32"/>
      <c r="U14" s="31"/>
      <c r="V14" s="31"/>
      <c r="W14" s="32"/>
      <c r="X14"/>
      <c r="Y14" s="205"/>
      <c r="Z14" s="205"/>
      <c r="AA14" s="205"/>
      <c r="AB14" s="205"/>
      <c r="AC14" s="51"/>
      <c r="AD14" s="33"/>
      <c r="AE14" s="34"/>
      <c r="AF14" s="35"/>
      <c r="AG14" s="36"/>
      <c r="AH14" s="37"/>
    </row>
    <row r="15" spans="1:34" ht="159.94999999999999" customHeight="1">
      <c r="A15" s="90">
        <v>1</v>
      </c>
      <c r="B15" s="147">
        <v>1</v>
      </c>
      <c r="C15" s="127">
        <f>($C$7*B15)</f>
        <v>400000</v>
      </c>
      <c r="D15" s="94" t="s">
        <v>32</v>
      </c>
      <c r="E15" s="95"/>
      <c r="F15" s="143"/>
      <c r="G15" s="143"/>
      <c r="H15" s="96" t="s">
        <v>109</v>
      </c>
      <c r="I15" s="95"/>
      <c r="J15" s="95"/>
      <c r="K15" s="92">
        <v>1.4020999999999999</v>
      </c>
      <c r="L15" s="91">
        <f>B15*K15</f>
        <v>1.4020999999999999</v>
      </c>
      <c r="M15" s="139" t="s">
        <v>67</v>
      </c>
      <c r="N15" s="141"/>
      <c r="O15" s="50"/>
      <c r="P15" s="41"/>
      <c r="Q15"/>
      <c r="R15" s="41"/>
      <c r="S15" s="26"/>
      <c r="T15" s="26"/>
      <c r="U15" s="26"/>
      <c r="V15" s="26"/>
      <c r="X15" s="38"/>
      <c r="Y15" s="205"/>
      <c r="Z15" s="205"/>
      <c r="AA15" s="205"/>
      <c r="AB15" s="205"/>
      <c r="AD15" s="38"/>
      <c r="AE15" s="38"/>
      <c r="AF15" s="39"/>
      <c r="AG15" s="39"/>
      <c r="AH15" s="39"/>
    </row>
    <row r="16" spans="1:34" ht="45" customHeight="1">
      <c r="A16" s="97">
        <f>A15+1</f>
        <v>2</v>
      </c>
      <c r="B16" s="98">
        <v>1</v>
      </c>
      <c r="C16" s="128">
        <f t="shared" ref="C16:C29" si="0">($C$7*B16)</f>
        <v>400000</v>
      </c>
      <c r="D16" s="98" t="s">
        <v>32</v>
      </c>
      <c r="E16" s="99"/>
      <c r="F16" s="143"/>
      <c r="G16" s="143"/>
      <c r="H16" s="100" t="s">
        <v>96</v>
      </c>
      <c r="I16" s="99"/>
      <c r="J16" s="99"/>
      <c r="K16" s="101">
        <v>0</v>
      </c>
      <c r="L16" s="102">
        <f t="shared" ref="L16:L35" si="1">B16*K16</f>
        <v>0</v>
      </c>
      <c r="M16" s="103" t="s">
        <v>95</v>
      </c>
      <c r="N16"/>
      <c r="O16" s="50"/>
      <c r="P16" s="41"/>
      <c r="Q16"/>
      <c r="R16" s="41"/>
      <c r="S16" s="26"/>
      <c r="T16" s="26"/>
      <c r="U16" s="26"/>
      <c r="V16" s="26"/>
      <c r="X16" s="38"/>
      <c r="Y16" s="205"/>
      <c r="Z16" s="205"/>
      <c r="AA16" s="205"/>
      <c r="AB16" s="205"/>
      <c r="AD16" s="38"/>
      <c r="AE16" s="38"/>
      <c r="AF16" s="39"/>
      <c r="AG16" s="39"/>
      <c r="AH16" s="39"/>
    </row>
    <row r="17" spans="1:34" ht="54.95" customHeight="1">
      <c r="A17" s="97">
        <f t="shared" ref="A17:A35" si="2">A16+1</f>
        <v>3</v>
      </c>
      <c r="B17" s="98" t="s">
        <v>74</v>
      </c>
      <c r="C17" s="128">
        <f t="shared" si="0"/>
        <v>11600000</v>
      </c>
      <c r="D17" s="98" t="s">
        <v>32</v>
      </c>
      <c r="E17" s="99"/>
      <c r="F17" s="143" t="s">
        <v>59</v>
      </c>
      <c r="G17" s="143" t="s">
        <v>85</v>
      </c>
      <c r="H17" s="148" t="s">
        <v>97</v>
      </c>
      <c r="I17" s="99"/>
      <c r="J17" s="99"/>
      <c r="K17" s="101">
        <v>5.1999999999999998E-3</v>
      </c>
      <c r="L17" s="102">
        <f t="shared" si="1"/>
        <v>0.15079999999999999</v>
      </c>
      <c r="M17" s="103"/>
      <c r="N17" s="141"/>
      <c r="O17" s="50"/>
      <c r="P17" s="41"/>
      <c r="Q17"/>
      <c r="R17" s="41"/>
      <c r="S17" s="26"/>
      <c r="T17" s="26"/>
      <c r="U17" s="26"/>
      <c r="V17" s="26"/>
      <c r="X17" s="38"/>
      <c r="Y17" s="205"/>
      <c r="Z17" s="205"/>
      <c r="AA17" s="205"/>
      <c r="AB17" s="205"/>
      <c r="AD17" s="38"/>
      <c r="AE17" s="38"/>
      <c r="AF17" s="39"/>
      <c r="AG17" s="39"/>
      <c r="AH17" s="39"/>
    </row>
    <row r="18" spans="1:34" ht="54.95" customHeight="1">
      <c r="A18" s="97">
        <f t="shared" si="2"/>
        <v>4</v>
      </c>
      <c r="B18" s="98" t="s">
        <v>75</v>
      </c>
      <c r="C18" s="128">
        <f t="shared" si="0"/>
        <v>5600000</v>
      </c>
      <c r="D18" s="98" t="s">
        <v>32</v>
      </c>
      <c r="E18" s="99"/>
      <c r="F18" s="143" t="s">
        <v>59</v>
      </c>
      <c r="G18" s="143" t="s">
        <v>86</v>
      </c>
      <c r="H18" s="148" t="s">
        <v>98</v>
      </c>
      <c r="I18" s="99"/>
      <c r="J18" s="99"/>
      <c r="K18" s="101">
        <v>5.1999999999999998E-3</v>
      </c>
      <c r="L18" s="102">
        <f t="shared" si="1"/>
        <v>7.2800000000000004E-2</v>
      </c>
      <c r="M18" s="103"/>
      <c r="N18"/>
      <c r="O18" s="50"/>
      <c r="P18" s="41"/>
      <c r="Q18"/>
      <c r="R18" s="41"/>
      <c r="S18" s="26"/>
      <c r="T18" s="26"/>
      <c r="U18" s="26"/>
      <c r="V18" s="26"/>
      <c r="X18" s="38"/>
      <c r="Y18" s="205"/>
      <c r="Z18" s="205"/>
      <c r="AA18" s="205"/>
      <c r="AB18" s="205"/>
      <c r="AD18" s="38"/>
      <c r="AE18" s="38"/>
      <c r="AF18" s="39"/>
      <c r="AG18" s="39"/>
      <c r="AH18" s="39"/>
    </row>
    <row r="19" spans="1:34" ht="120" customHeight="1">
      <c r="A19" s="97">
        <f t="shared" si="2"/>
        <v>5</v>
      </c>
      <c r="B19" s="98" t="s">
        <v>76</v>
      </c>
      <c r="C19" s="128">
        <f t="shared" si="0"/>
        <v>400000</v>
      </c>
      <c r="D19" s="98" t="s">
        <v>32</v>
      </c>
      <c r="E19" s="99"/>
      <c r="F19" s="144" t="s">
        <v>114</v>
      </c>
      <c r="G19" s="144" t="s">
        <v>115</v>
      </c>
      <c r="H19" s="148" t="s">
        <v>116</v>
      </c>
      <c r="I19" s="99"/>
      <c r="J19" s="99"/>
      <c r="K19" s="101">
        <v>0.35980000000000001</v>
      </c>
      <c r="L19" s="102">
        <f t="shared" si="1"/>
        <v>0.35980000000000001</v>
      </c>
      <c r="M19" s="103" t="s">
        <v>117</v>
      </c>
      <c r="N19" s="140"/>
      <c r="O19" s="50"/>
      <c r="P19" s="41"/>
      <c r="Q19"/>
      <c r="R19" s="41"/>
      <c r="S19" s="26"/>
      <c r="T19" s="26"/>
      <c r="U19" s="26"/>
      <c r="V19" s="26"/>
      <c r="X19" s="38"/>
      <c r="Y19" s="205"/>
      <c r="Z19" s="205"/>
      <c r="AA19" s="205"/>
      <c r="AB19" s="205"/>
      <c r="AD19" s="38"/>
      <c r="AE19" s="38"/>
      <c r="AF19" s="39"/>
      <c r="AG19" s="39"/>
      <c r="AH19" s="39"/>
    </row>
    <row r="20" spans="1:34" ht="54.95" customHeight="1">
      <c r="A20" s="97">
        <f t="shared" si="2"/>
        <v>6</v>
      </c>
      <c r="B20" s="98" t="s">
        <v>77</v>
      </c>
      <c r="C20" s="128">
        <f t="shared" si="0"/>
        <v>2800000</v>
      </c>
      <c r="D20" s="98" t="s">
        <v>32</v>
      </c>
      <c r="E20" s="99"/>
      <c r="F20" s="143" t="s">
        <v>84</v>
      </c>
      <c r="G20" s="143" t="s">
        <v>87</v>
      </c>
      <c r="H20" s="148" t="s">
        <v>99</v>
      </c>
      <c r="I20" s="99"/>
      <c r="J20" s="99"/>
      <c r="K20" s="101">
        <v>9.3799999999999994E-2</v>
      </c>
      <c r="L20" s="102">
        <f t="shared" si="1"/>
        <v>0.65659999999999996</v>
      </c>
      <c r="M20" s="103"/>
      <c r="N20" s="140"/>
      <c r="O20" s="50"/>
      <c r="P20" s="41"/>
      <c r="Q20"/>
      <c r="R20" s="41"/>
      <c r="S20" s="26"/>
      <c r="T20" s="26"/>
      <c r="U20" s="26"/>
      <c r="V20" s="26"/>
      <c r="X20" s="38"/>
      <c r="Y20" s="205"/>
      <c r="Z20" s="205"/>
      <c r="AA20" s="205"/>
      <c r="AB20" s="205"/>
      <c r="AD20" s="38"/>
      <c r="AE20" s="38"/>
      <c r="AF20" s="39"/>
      <c r="AG20" s="39"/>
      <c r="AH20" s="39"/>
    </row>
    <row r="21" spans="1:34" ht="54.95" customHeight="1">
      <c r="A21" s="97">
        <f t="shared" si="2"/>
        <v>7</v>
      </c>
      <c r="B21" s="98" t="s">
        <v>78</v>
      </c>
      <c r="C21" s="128">
        <f t="shared" si="0"/>
        <v>800000</v>
      </c>
      <c r="D21" s="98" t="s">
        <v>32</v>
      </c>
      <c r="E21" s="99"/>
      <c r="F21" s="143" t="s">
        <v>63</v>
      </c>
      <c r="G21" s="143" t="s">
        <v>88</v>
      </c>
      <c r="H21" s="148" t="s">
        <v>107</v>
      </c>
      <c r="I21" s="99"/>
      <c r="J21" s="99"/>
      <c r="K21" s="101">
        <v>4.9500000000000002E-2</v>
      </c>
      <c r="L21" s="102">
        <f t="shared" si="1"/>
        <v>9.9000000000000005E-2</v>
      </c>
      <c r="M21" s="103"/>
      <c r="N21" s="140"/>
      <c r="O21" s="50"/>
      <c r="P21" s="41"/>
      <c r="Q21"/>
      <c r="R21" s="41"/>
      <c r="S21" s="26"/>
      <c r="T21" s="26"/>
      <c r="U21" s="26"/>
      <c r="V21" s="26"/>
      <c r="Y21" s="205"/>
      <c r="Z21" s="205"/>
      <c r="AA21" s="205"/>
      <c r="AB21" s="205"/>
    </row>
    <row r="22" spans="1:34" customFormat="1" ht="54.95" customHeight="1">
      <c r="A22" s="97">
        <f t="shared" si="2"/>
        <v>8</v>
      </c>
      <c r="B22" s="98" t="s">
        <v>79</v>
      </c>
      <c r="C22" s="128">
        <f t="shared" si="0"/>
        <v>2000000</v>
      </c>
      <c r="D22" s="98" t="s">
        <v>32</v>
      </c>
      <c r="E22" s="99"/>
      <c r="F22" s="143" t="s">
        <v>63</v>
      </c>
      <c r="G22" s="143" t="s">
        <v>89</v>
      </c>
      <c r="H22" s="148" t="s">
        <v>108</v>
      </c>
      <c r="I22" s="99"/>
      <c r="J22" s="99"/>
      <c r="K22" s="101">
        <v>4.9500000000000002E-2</v>
      </c>
      <c r="L22" s="102">
        <f t="shared" si="1"/>
        <v>0.2475</v>
      </c>
      <c r="M22" s="103"/>
      <c r="N22" s="140"/>
      <c r="O22" s="50"/>
      <c r="Y22" s="205"/>
      <c r="Z22" s="205"/>
    </row>
    <row r="23" spans="1:34" customFormat="1" ht="54.95" customHeight="1">
      <c r="A23" s="97">
        <f t="shared" si="2"/>
        <v>9</v>
      </c>
      <c r="B23" s="98" t="s">
        <v>75</v>
      </c>
      <c r="C23" s="128">
        <f t="shared" si="0"/>
        <v>5600000</v>
      </c>
      <c r="D23" s="98" t="s">
        <v>32</v>
      </c>
      <c r="E23" s="99"/>
      <c r="F23" s="143" t="s">
        <v>64</v>
      </c>
      <c r="G23" s="143" t="s">
        <v>66</v>
      </c>
      <c r="H23" s="148" t="s">
        <v>100</v>
      </c>
      <c r="I23" s="99"/>
      <c r="J23" s="99"/>
      <c r="K23" s="101">
        <v>2.8E-3</v>
      </c>
      <c r="L23" s="102">
        <f t="shared" si="1"/>
        <v>3.9199999999999999E-2</v>
      </c>
      <c r="M23" s="103"/>
      <c r="N23" s="140"/>
      <c r="Y23" s="205"/>
      <c r="Z23" s="205"/>
      <c r="AA23" s="205"/>
      <c r="AB23" s="205"/>
    </row>
    <row r="24" spans="1:34" customFormat="1" ht="54.95" customHeight="1">
      <c r="A24" s="97">
        <f t="shared" si="2"/>
        <v>10</v>
      </c>
      <c r="B24" s="98" t="s">
        <v>80</v>
      </c>
      <c r="C24" s="128">
        <f t="shared" si="0"/>
        <v>1600000</v>
      </c>
      <c r="D24" s="98" t="s">
        <v>32</v>
      </c>
      <c r="E24" s="99"/>
      <c r="F24" s="143" t="s">
        <v>64</v>
      </c>
      <c r="G24" s="143" t="s">
        <v>90</v>
      </c>
      <c r="H24" s="148" t="s">
        <v>101</v>
      </c>
      <c r="I24" s="99"/>
      <c r="J24" s="99"/>
      <c r="K24" s="101">
        <v>3.0999999999999999E-3</v>
      </c>
      <c r="L24" s="102">
        <f t="shared" si="1"/>
        <v>1.24E-2</v>
      </c>
      <c r="M24" s="103" t="s">
        <v>111</v>
      </c>
      <c r="N24" s="140"/>
      <c r="Y24" s="205"/>
      <c r="Z24" s="205"/>
      <c r="AA24" s="205"/>
      <c r="AB24" s="205"/>
    </row>
    <row r="25" spans="1:34" customFormat="1" ht="54.95" customHeight="1">
      <c r="A25" s="97">
        <f t="shared" si="2"/>
        <v>11</v>
      </c>
      <c r="B25" s="98" t="s">
        <v>81</v>
      </c>
      <c r="C25" s="128">
        <f t="shared" si="0"/>
        <v>1200000</v>
      </c>
      <c r="D25" s="98" t="s">
        <v>32</v>
      </c>
      <c r="E25" s="99"/>
      <c r="F25" s="143" t="s">
        <v>64</v>
      </c>
      <c r="G25" s="143" t="s">
        <v>91</v>
      </c>
      <c r="H25" s="148" t="s">
        <v>102</v>
      </c>
      <c r="I25" s="99"/>
      <c r="J25" s="99"/>
      <c r="K25" s="101">
        <v>3.0999999999999999E-3</v>
      </c>
      <c r="L25" s="102">
        <f t="shared" si="1"/>
        <v>9.2999999999999992E-3</v>
      </c>
      <c r="M25" s="130"/>
      <c r="N25" s="140"/>
    </row>
    <row r="26" spans="1:34" customFormat="1" ht="54.95" customHeight="1">
      <c r="A26" s="97">
        <f t="shared" si="2"/>
        <v>12</v>
      </c>
      <c r="B26" s="98" t="s">
        <v>79</v>
      </c>
      <c r="C26" s="128">
        <f t="shared" si="0"/>
        <v>2000000</v>
      </c>
      <c r="D26" s="98" t="s">
        <v>32</v>
      </c>
      <c r="E26" s="99"/>
      <c r="F26" s="143" t="s">
        <v>64</v>
      </c>
      <c r="G26" s="143" t="s">
        <v>92</v>
      </c>
      <c r="H26" s="148" t="s">
        <v>103</v>
      </c>
      <c r="I26" s="99"/>
      <c r="J26" s="99"/>
      <c r="K26" s="101">
        <v>3.0999999999999999E-3</v>
      </c>
      <c r="L26" s="102">
        <f t="shared" si="1"/>
        <v>1.55E-2</v>
      </c>
      <c r="M26" s="103" t="s">
        <v>112</v>
      </c>
      <c r="N26" s="140"/>
    </row>
    <row r="27" spans="1:34" customFormat="1" ht="54.95" customHeight="1">
      <c r="A27" s="97">
        <f t="shared" si="2"/>
        <v>13</v>
      </c>
      <c r="B27" s="98" t="s">
        <v>80</v>
      </c>
      <c r="C27" s="128">
        <f t="shared" si="0"/>
        <v>1600000</v>
      </c>
      <c r="D27" s="98" t="s">
        <v>32</v>
      </c>
      <c r="E27" s="99"/>
      <c r="F27" s="143" t="s">
        <v>64</v>
      </c>
      <c r="G27" s="143" t="s">
        <v>93</v>
      </c>
      <c r="H27" s="148" t="s">
        <v>104</v>
      </c>
      <c r="I27" s="99"/>
      <c r="J27" s="99"/>
      <c r="K27" s="101">
        <v>3.0999999999999999E-3</v>
      </c>
      <c r="L27" s="102">
        <f t="shared" si="1"/>
        <v>1.24E-2</v>
      </c>
      <c r="M27" s="103" t="s">
        <v>113</v>
      </c>
      <c r="N27" s="140"/>
    </row>
    <row r="28" spans="1:34" customFormat="1" ht="54.95" customHeight="1">
      <c r="A28" s="97">
        <f t="shared" si="2"/>
        <v>14</v>
      </c>
      <c r="B28" s="98" t="s">
        <v>82</v>
      </c>
      <c r="C28" s="128">
        <f t="shared" si="0"/>
        <v>2400000</v>
      </c>
      <c r="D28" s="98" t="s">
        <v>32</v>
      </c>
      <c r="E28" s="99"/>
      <c r="F28" s="143" t="s">
        <v>64</v>
      </c>
      <c r="G28" s="143" t="s">
        <v>94</v>
      </c>
      <c r="H28" s="148" t="s">
        <v>105</v>
      </c>
      <c r="I28" s="99"/>
      <c r="J28" s="99"/>
      <c r="K28" s="101">
        <v>3.0999999999999999E-3</v>
      </c>
      <c r="L28" s="102">
        <f t="shared" si="1"/>
        <v>1.8599999999999998E-2</v>
      </c>
      <c r="M28" s="103"/>
      <c r="N28" s="140"/>
    </row>
    <row r="29" spans="1:34" customFormat="1" ht="54.95" customHeight="1">
      <c r="A29" s="97">
        <f t="shared" si="2"/>
        <v>15</v>
      </c>
      <c r="B29" s="98">
        <v>1</v>
      </c>
      <c r="C29" s="128">
        <f t="shared" si="0"/>
        <v>400000</v>
      </c>
      <c r="D29" s="98" t="s">
        <v>32</v>
      </c>
      <c r="E29" s="99"/>
      <c r="F29" s="143"/>
      <c r="G29" s="143"/>
      <c r="H29" s="148" t="s">
        <v>106</v>
      </c>
      <c r="I29" s="99"/>
      <c r="J29" s="99"/>
      <c r="K29" s="101">
        <v>6.5500000000000003E-2</v>
      </c>
      <c r="L29" s="102">
        <f t="shared" si="1"/>
        <v>6.5500000000000003E-2</v>
      </c>
      <c r="M29" s="103"/>
      <c r="N29" s="140"/>
      <c r="O29" s="50"/>
      <c r="Y29" s="205"/>
      <c r="Z29" s="205"/>
    </row>
    <row r="30" spans="1:34" customFormat="1" ht="45" customHeight="1">
      <c r="A30" s="97">
        <f t="shared" si="2"/>
        <v>16</v>
      </c>
      <c r="B30" s="98"/>
      <c r="C30" s="128"/>
      <c r="D30" s="98"/>
      <c r="E30" s="99"/>
      <c r="F30" s="100"/>
      <c r="G30" s="100"/>
      <c r="H30" s="100"/>
      <c r="I30" s="99"/>
      <c r="J30" s="99"/>
      <c r="K30" s="101">
        <v>0</v>
      </c>
      <c r="L30" s="102">
        <f t="shared" si="1"/>
        <v>0</v>
      </c>
      <c r="M30" s="103"/>
      <c r="N30" s="140"/>
      <c r="Y30" s="205"/>
      <c r="Z30" s="205"/>
      <c r="AA30" s="205"/>
      <c r="AB30" s="205"/>
    </row>
    <row r="31" spans="1:34" customFormat="1" ht="45" customHeight="1">
      <c r="A31" s="97">
        <f t="shared" si="2"/>
        <v>17</v>
      </c>
      <c r="B31" s="146"/>
      <c r="C31" s="128"/>
      <c r="D31" s="98"/>
      <c r="E31" s="99"/>
      <c r="F31" s="100"/>
      <c r="G31" s="100"/>
      <c r="H31" s="100"/>
      <c r="I31" s="99"/>
      <c r="J31" s="99"/>
      <c r="K31" s="101">
        <v>0</v>
      </c>
      <c r="L31" s="102">
        <f t="shared" si="1"/>
        <v>0</v>
      </c>
      <c r="M31" s="103"/>
      <c r="N31" s="140"/>
      <c r="Y31" s="205"/>
      <c r="Z31" s="205"/>
      <c r="AA31" s="205"/>
      <c r="AB31" s="205"/>
    </row>
    <row r="32" spans="1:34" customFormat="1" ht="45" customHeight="1">
      <c r="A32" s="97">
        <f t="shared" si="2"/>
        <v>18</v>
      </c>
      <c r="B32" s="98"/>
      <c r="C32" s="128"/>
      <c r="D32" s="98"/>
      <c r="E32" s="99"/>
      <c r="F32" s="100"/>
      <c r="G32" s="100"/>
      <c r="H32" s="100"/>
      <c r="I32" s="99"/>
      <c r="J32" s="99"/>
      <c r="K32" s="101">
        <v>0</v>
      </c>
      <c r="L32" s="102">
        <f t="shared" si="1"/>
        <v>0</v>
      </c>
      <c r="M32" s="130"/>
      <c r="N32" s="140"/>
    </row>
    <row r="33" spans="1:29" customFormat="1" ht="45" customHeight="1">
      <c r="A33" s="97">
        <f t="shared" si="2"/>
        <v>19</v>
      </c>
      <c r="B33" s="98"/>
      <c r="C33" s="128"/>
      <c r="D33" s="98"/>
      <c r="E33" s="99"/>
      <c r="F33" s="100"/>
      <c r="G33" s="100"/>
      <c r="H33" s="100"/>
      <c r="I33" s="99"/>
      <c r="J33" s="99"/>
      <c r="K33" s="101">
        <v>0</v>
      </c>
      <c r="L33" s="102">
        <f t="shared" si="1"/>
        <v>0</v>
      </c>
      <c r="M33" s="103"/>
      <c r="N33" s="140"/>
    </row>
    <row r="34" spans="1:29" customFormat="1" ht="45" customHeight="1">
      <c r="A34" s="97">
        <f t="shared" si="2"/>
        <v>20</v>
      </c>
      <c r="B34" s="98"/>
      <c r="C34" s="128"/>
      <c r="D34" s="98"/>
      <c r="E34" s="99"/>
      <c r="F34" s="100"/>
      <c r="G34" s="100"/>
      <c r="H34" s="100"/>
      <c r="I34" s="99"/>
      <c r="J34" s="99"/>
      <c r="K34" s="101">
        <v>0</v>
      </c>
      <c r="L34" s="102">
        <f t="shared" si="1"/>
        <v>0</v>
      </c>
      <c r="M34" s="103"/>
      <c r="N34" s="140"/>
    </row>
    <row r="35" spans="1:29" customFormat="1" ht="45" customHeight="1">
      <c r="A35" s="97">
        <f t="shared" si="2"/>
        <v>21</v>
      </c>
      <c r="B35" s="98"/>
      <c r="C35" s="128"/>
      <c r="D35" s="98"/>
      <c r="E35" s="99"/>
      <c r="F35" s="100"/>
      <c r="G35" s="100"/>
      <c r="H35" s="100"/>
      <c r="I35" s="99"/>
      <c r="J35" s="99"/>
      <c r="K35" s="101">
        <v>0</v>
      </c>
      <c r="L35" s="102">
        <f t="shared" si="1"/>
        <v>0</v>
      </c>
      <c r="M35" s="130"/>
      <c r="N35" s="140"/>
    </row>
    <row r="36" spans="1:29" ht="45" customHeight="1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/>
      <c r="N36"/>
      <c r="O36" s="50"/>
      <c r="P36"/>
      <c r="Q36"/>
      <c r="R36" s="41"/>
      <c r="S36" s="26"/>
      <c r="T36" s="26"/>
      <c r="U36" s="26"/>
      <c r="V36" s="26"/>
      <c r="Y36" s="38"/>
      <c r="Z36" s="38"/>
    </row>
    <row r="37" spans="1:29" ht="60.6" customHeight="1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9" t="s">
        <v>21</v>
      </c>
      <c r="L37" s="108">
        <f>SUM(L15:L35)</f>
        <v>3.1615000000000006</v>
      </c>
      <c r="M37"/>
      <c r="N37" s="40"/>
      <c r="O37" s="40"/>
      <c r="P37" s="26"/>
      <c r="Q37"/>
      <c r="R37" s="41"/>
      <c r="S37" s="26"/>
      <c r="T37" s="26"/>
      <c r="U37"/>
      <c r="V37" s="26"/>
      <c r="AC37" s="38"/>
    </row>
    <row r="38" spans="1:29" ht="77.25" customHeight="1">
      <c r="A38" s="222"/>
      <c r="B38" s="222"/>
      <c r="C38" s="222"/>
      <c r="D38" s="222"/>
      <c r="E38" s="222"/>
      <c r="F38" s="222"/>
      <c r="G38" s="222"/>
      <c r="H38" s="222"/>
      <c r="I38" s="222"/>
      <c r="J38" s="223"/>
      <c r="K38" s="110" t="s">
        <v>41</v>
      </c>
      <c r="L38" s="93">
        <v>6.0000000000000001E-3</v>
      </c>
      <c r="M38"/>
      <c r="N38" s="43"/>
      <c r="O38" s="43"/>
      <c r="P38" s="26"/>
      <c r="Q38" s="44"/>
      <c r="R38" s="41"/>
      <c r="S38" s="26"/>
      <c r="T38" s="26"/>
      <c r="U38"/>
      <c r="V38" s="41"/>
      <c r="X38" s="32"/>
      <c r="Y38" s="7"/>
      <c r="AC38" s="49"/>
    </row>
    <row r="39" spans="1:29" ht="39.950000000000003" customHeight="1">
      <c r="A39" s="224" t="s">
        <v>22</v>
      </c>
      <c r="B39" s="224"/>
      <c r="C39" s="224"/>
      <c r="D39" s="224"/>
      <c r="E39" s="224"/>
      <c r="F39" s="78"/>
      <c r="G39" s="78"/>
      <c r="H39" s="78"/>
      <c r="I39" s="78"/>
      <c r="J39" s="114"/>
      <c r="K39" s="111" t="s">
        <v>42</v>
      </c>
      <c r="L39" s="101">
        <v>0.72399999999999998</v>
      </c>
      <c r="M39" s="43"/>
      <c r="N39" s="43"/>
      <c r="O39" s="43"/>
      <c r="P39" s="26"/>
      <c r="U39" s="42"/>
      <c r="V39" s="7"/>
      <c r="X39" s="34"/>
      <c r="Y39" s="7"/>
      <c r="AC39" s="34"/>
    </row>
    <row r="40" spans="1:29" ht="59.25" customHeight="1">
      <c r="A40" s="225"/>
      <c r="B40" s="225"/>
      <c r="C40" s="225"/>
      <c r="D40" s="225"/>
      <c r="E40" s="225"/>
      <c r="F40" s="225"/>
      <c r="G40" s="225"/>
      <c r="H40" s="225"/>
      <c r="I40" s="78"/>
      <c r="J40" s="114"/>
      <c r="K40" s="112" t="s">
        <v>43</v>
      </c>
      <c r="L40" s="101">
        <v>0.24099999999999999</v>
      </c>
      <c r="M40" s="43"/>
      <c r="N40" s="43"/>
      <c r="O40" s="43"/>
      <c r="P40" s="26"/>
      <c r="Q40"/>
      <c r="U40" s="31"/>
      <c r="V40" s="41"/>
    </row>
    <row r="41" spans="1:29" ht="39.950000000000003" customHeight="1">
      <c r="A41" s="225"/>
      <c r="B41" s="225"/>
      <c r="C41" s="225"/>
      <c r="D41" s="225"/>
      <c r="E41" s="225"/>
      <c r="F41" s="225"/>
      <c r="G41" s="225"/>
      <c r="H41" s="225"/>
      <c r="I41" s="78"/>
      <c r="J41" s="114"/>
      <c r="K41" s="111"/>
      <c r="L41" s="101"/>
      <c r="M41" s="43"/>
      <c r="N41" s="43"/>
      <c r="O41" s="205"/>
      <c r="P41" s="205"/>
      <c r="Q41" s="205"/>
      <c r="U41" s="31"/>
      <c r="V41" s="41"/>
    </row>
    <row r="42" spans="1:29" ht="39.950000000000003" customHeight="1">
      <c r="A42" s="225"/>
      <c r="B42" s="225"/>
      <c r="C42" s="225"/>
      <c r="D42" s="225"/>
      <c r="E42" s="225"/>
      <c r="F42" s="225"/>
      <c r="G42" s="225"/>
      <c r="H42" s="225"/>
      <c r="I42" s="78"/>
      <c r="J42" s="114"/>
      <c r="K42" s="111" t="s">
        <v>44</v>
      </c>
      <c r="L42" s="101">
        <v>0.25519999999999998</v>
      </c>
      <c r="M42" s="43"/>
      <c r="N42" s="43"/>
      <c r="O42" s="205"/>
      <c r="P42" s="205"/>
      <c r="Q42" s="205"/>
      <c r="U42"/>
      <c r="V42" s="41"/>
    </row>
    <row r="43" spans="1:29" ht="39.950000000000003" customHeight="1">
      <c r="A43" s="78"/>
      <c r="B43" s="78"/>
      <c r="C43" s="78"/>
      <c r="D43" s="78"/>
      <c r="E43" s="78"/>
      <c r="F43" s="78"/>
      <c r="G43" s="78"/>
      <c r="H43" s="78"/>
      <c r="I43" s="78"/>
      <c r="J43" s="114"/>
      <c r="K43" s="111" t="s">
        <v>45</v>
      </c>
      <c r="L43" s="101">
        <v>0.23630000000000001</v>
      </c>
      <c r="M43" s="43"/>
      <c r="N43" s="43"/>
      <c r="O43" s="43"/>
      <c r="P43" s="26"/>
      <c r="U43"/>
      <c r="V43"/>
    </row>
    <row r="44" spans="1:29" ht="55.9" customHeight="1">
      <c r="A44" s="78"/>
      <c r="B44" s="78"/>
      <c r="C44" s="78"/>
      <c r="D44" s="78"/>
      <c r="E44" s="78"/>
      <c r="F44" s="78"/>
      <c r="G44" s="78"/>
      <c r="H44" s="78"/>
      <c r="I44" s="78"/>
      <c r="J44" s="114"/>
      <c r="K44" s="112" t="s">
        <v>46</v>
      </c>
      <c r="L44" s="101">
        <v>0.11</v>
      </c>
      <c r="M44" s="43"/>
      <c r="N44" s="43"/>
      <c r="O44" s="43"/>
      <c r="P44" s="26"/>
      <c r="U44" s="31"/>
      <c r="V44" s="41"/>
    </row>
    <row r="45" spans="1:29" ht="39.950000000000003" customHeight="1">
      <c r="A45" s="78"/>
      <c r="B45" s="78"/>
      <c r="C45" s="78"/>
      <c r="D45" s="78"/>
      <c r="E45" s="78"/>
      <c r="F45" s="78"/>
      <c r="G45" s="78"/>
      <c r="H45" s="78"/>
      <c r="I45" s="78"/>
      <c r="J45" s="114"/>
      <c r="K45" s="112"/>
      <c r="L45" s="101"/>
      <c r="M45" s="43"/>
      <c r="N45" s="43"/>
      <c r="O45" s="43"/>
      <c r="P45" s="26"/>
    </row>
    <row r="46" spans="1:29" ht="45.2" customHeight="1">
      <c r="A46" s="78"/>
      <c r="B46" s="78"/>
      <c r="C46" s="78"/>
      <c r="D46" s="78"/>
      <c r="E46" s="78"/>
      <c r="F46" s="78"/>
      <c r="G46" s="78"/>
      <c r="H46" s="78"/>
      <c r="I46" s="78"/>
      <c r="J46" s="114"/>
      <c r="K46" s="113" t="s">
        <v>47</v>
      </c>
      <c r="L46" s="129">
        <f>SUM(L37:L44)</f>
        <v>4.7340000000000009</v>
      </c>
      <c r="M46" s="43"/>
      <c r="N46" s="43"/>
      <c r="O46" s="43"/>
      <c r="P46" s="26"/>
    </row>
    <row r="47" spans="1:29" ht="39.950000000000003" customHeight="1">
      <c r="A47" s="78"/>
      <c r="B47" s="78"/>
      <c r="C47" s="78"/>
      <c r="D47" s="78"/>
      <c r="E47" s="78"/>
      <c r="F47" s="78"/>
      <c r="G47" s="78"/>
      <c r="H47" s="78"/>
      <c r="I47" s="78"/>
      <c r="J47" s="115"/>
      <c r="K47" s="113" t="s">
        <v>48</v>
      </c>
      <c r="L47" s="108">
        <v>0.1</v>
      </c>
      <c r="M47" s="43"/>
      <c r="N47" s="43"/>
      <c r="O47" s="43"/>
      <c r="P47" s="26"/>
    </row>
    <row r="48" spans="1:29" ht="45.2" customHeight="1">
      <c r="A48" s="78"/>
      <c r="B48" s="78"/>
      <c r="C48" s="78"/>
      <c r="D48" s="78"/>
      <c r="E48" s="78"/>
      <c r="F48" s="78"/>
      <c r="G48" s="78"/>
      <c r="H48" s="78"/>
      <c r="I48" s="78"/>
      <c r="J48" s="116"/>
      <c r="K48" s="113" t="s">
        <v>49</v>
      </c>
      <c r="L48" s="129">
        <f>L46+L47</f>
        <v>4.8340000000000005</v>
      </c>
      <c r="M48" s="43"/>
      <c r="N48" s="43"/>
      <c r="O48" s="43"/>
      <c r="P48" s="26"/>
      <c r="S48" s="7"/>
    </row>
    <row r="49" spans="1:16" ht="39.950000000000003" customHeight="1">
      <c r="A49" s="78"/>
      <c r="B49" s="78"/>
      <c r="C49" s="78"/>
      <c r="D49" s="78"/>
      <c r="E49" s="78"/>
      <c r="F49" s="78"/>
      <c r="G49" s="78"/>
      <c r="H49" s="78"/>
      <c r="I49" s="78"/>
      <c r="J49" s="117"/>
      <c r="K49" s="4"/>
      <c r="L49"/>
      <c r="M49" s="4"/>
      <c r="N49" s="4"/>
      <c r="O49" s="4"/>
      <c r="P49" s="4"/>
    </row>
    <row r="50" spans="1:16" ht="39.950000000000003" customHeight="1">
      <c r="A50" s="78"/>
      <c r="B50" s="78"/>
      <c r="C50" s="78"/>
      <c r="D50" s="78"/>
      <c r="E50" s="78"/>
      <c r="F50" s="78"/>
      <c r="G50" s="78"/>
      <c r="H50" s="78"/>
      <c r="I50" s="78"/>
      <c r="J50" s="117"/>
      <c r="K50" s="4"/>
      <c r="L50"/>
      <c r="M50" s="4"/>
      <c r="N50" s="4"/>
      <c r="O50" s="4"/>
      <c r="P50" s="4"/>
    </row>
    <row r="51" spans="1:16" ht="39.950000000000003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/>
      <c r="M51" s="4"/>
      <c r="N51" s="4"/>
      <c r="O51" s="4"/>
      <c r="P51" s="4"/>
    </row>
    <row r="52" spans="1:16" ht="39.950000000000003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/>
      <c r="M52" s="4"/>
      <c r="N52" s="4"/>
      <c r="O52" s="4"/>
      <c r="P52" s="4"/>
    </row>
    <row r="53" spans="1:16" ht="39.950000000000003" customHeight="1">
      <c r="A53" s="52" t="s">
        <v>23</v>
      </c>
      <c r="B53" s="53"/>
      <c r="C53" s="53"/>
      <c r="D53" s="53"/>
      <c r="E53" s="53"/>
      <c r="F53" s="53"/>
      <c r="G53" s="53"/>
      <c r="H53" s="53"/>
      <c r="I53" s="53"/>
      <c r="J53" s="54"/>
      <c r="K53" s="4"/>
      <c r="L53"/>
      <c r="M53"/>
      <c r="N53" s="4"/>
      <c r="O53" s="4"/>
      <c r="P53" s="4"/>
    </row>
    <row r="54" spans="1:16" ht="26.25">
      <c r="A54" s="55"/>
      <c r="B54" s="56"/>
      <c r="C54" s="56"/>
      <c r="D54" s="56"/>
      <c r="E54" s="56"/>
      <c r="F54" s="56"/>
      <c r="G54" s="56"/>
      <c r="H54" s="56"/>
      <c r="I54" s="56"/>
      <c r="J54" s="57"/>
      <c r="K54" s="4"/>
      <c r="L54"/>
      <c r="M54" s="4"/>
      <c r="N54" s="4"/>
      <c r="O54" s="4"/>
      <c r="P54" s="4"/>
    </row>
    <row r="55" spans="1:16" ht="26.25">
      <c r="A55" s="58"/>
      <c r="B55" s="59"/>
      <c r="C55" s="59"/>
      <c r="D55" s="59"/>
      <c r="E55" s="59"/>
      <c r="F55" s="59"/>
      <c r="G55" s="59"/>
      <c r="H55" s="59"/>
      <c r="I55" s="59"/>
      <c r="J55" s="60"/>
      <c r="K55" s="4"/>
      <c r="L55" s="4"/>
      <c r="M55" s="4"/>
      <c r="N55" s="4"/>
      <c r="O55" s="4"/>
      <c r="P55" s="4"/>
    </row>
    <row r="56" spans="1:16">
      <c r="A56" s="61"/>
      <c r="B56" s="62"/>
      <c r="C56" s="62"/>
      <c r="D56" s="62"/>
      <c r="E56" s="62"/>
      <c r="F56" s="62"/>
      <c r="G56" s="62"/>
      <c r="H56" s="62"/>
      <c r="I56" s="62"/>
      <c r="J56" s="63"/>
      <c r="K56" s="4"/>
      <c r="L56" s="4"/>
      <c r="M56" s="4"/>
      <c r="N56" s="4"/>
      <c r="O56" s="4"/>
      <c r="P56" s="4"/>
    </row>
    <row r="57" spans="1:16" ht="26.25">
      <c r="A57" t="s">
        <v>24</v>
      </c>
      <c r="B57"/>
      <c r="C57"/>
      <c r="D57"/>
      <c r="E57"/>
      <c r="F57"/>
      <c r="G57"/>
      <c r="H57"/>
      <c r="I57"/>
      <c r="J57" s="54"/>
    </row>
    <row r="58" spans="1:16">
      <c r="A58" s="205"/>
      <c r="B58" s="205"/>
      <c r="C58" s="205"/>
      <c r="D58" s="205"/>
      <c r="E58" s="205"/>
      <c r="F58" s="205"/>
      <c r="G58" s="205"/>
      <c r="H58" s="205"/>
      <c r="I58"/>
      <c r="J58"/>
    </row>
    <row r="59" spans="1:16" ht="18">
      <c r="A59" s="64"/>
      <c r="B59" s="64"/>
      <c r="C59" s="64"/>
      <c r="D59" s="64"/>
      <c r="E59" s="64"/>
      <c r="F59" s="64"/>
      <c r="G59" s="64"/>
      <c r="H59" s="64"/>
      <c r="I59" s="64"/>
      <c r="J59" s="64"/>
    </row>
    <row r="60" spans="1:16">
      <c r="A60" s="62"/>
      <c r="B60" s="62"/>
      <c r="C60" s="62"/>
      <c r="D60" s="62"/>
      <c r="E60" s="62"/>
      <c r="F60" s="62"/>
      <c r="G60" s="62"/>
      <c r="H60" s="62"/>
      <c r="I60" s="62"/>
      <c r="J60" s="62"/>
    </row>
    <row r="61" spans="1:16" ht="26.25">
      <c r="A61" s="52" t="s">
        <v>55</v>
      </c>
      <c r="B61" s="53"/>
      <c r="C61" s="53"/>
      <c r="D61" s="53"/>
      <c r="E61" s="53"/>
      <c r="F61" s="53"/>
      <c r="G61" s="53"/>
      <c r="H61" s="53"/>
      <c r="I61" s="53"/>
      <c r="J61" s="54"/>
    </row>
    <row r="62" spans="1:16" ht="26.25">
      <c r="A62" s="65" t="s">
        <v>40</v>
      </c>
      <c r="B62" s="66"/>
      <c r="C62" s="66"/>
      <c r="D62" s="66"/>
      <c r="E62" s="66"/>
      <c r="F62" s="66"/>
      <c r="G62" s="66"/>
      <c r="H62" s="66"/>
      <c r="I62" s="66"/>
      <c r="J62" s="67"/>
    </row>
    <row r="63" spans="1:16" ht="26.25">
      <c r="A63" s="68" t="s">
        <v>40</v>
      </c>
      <c r="B63" s="69"/>
      <c r="C63" s="69"/>
      <c r="D63" s="69"/>
      <c r="E63" s="69"/>
      <c r="F63" s="69"/>
      <c r="G63" s="69"/>
      <c r="H63" s="69"/>
      <c r="I63" s="69"/>
      <c r="J63" s="70"/>
    </row>
    <row r="64" spans="1:16" ht="26.25">
      <c r="A64" s="71"/>
      <c r="B64" s="69"/>
      <c r="C64" s="69"/>
      <c r="D64" s="69"/>
      <c r="E64" s="69"/>
      <c r="F64" s="69"/>
      <c r="G64" s="69"/>
      <c r="H64" s="69"/>
      <c r="I64" s="69"/>
      <c r="J64" s="70"/>
    </row>
    <row r="65" spans="1:12" ht="26.25">
      <c r="A65" s="72"/>
      <c r="B65" s="73"/>
      <c r="C65" s="73"/>
      <c r="D65" s="73"/>
      <c r="E65" s="73"/>
      <c r="F65" s="73"/>
      <c r="G65" s="73"/>
      <c r="H65" s="73"/>
      <c r="I65" s="73"/>
      <c r="J65"/>
    </row>
    <row r="67" spans="1:12" ht="26.25">
      <c r="A67" s="118" t="s">
        <v>25</v>
      </c>
      <c r="B67" s="119"/>
      <c r="C67" s="119"/>
      <c r="D67" s="119"/>
      <c r="E67" s="119"/>
      <c r="F67" s="120"/>
      <c r="H67" s="124" t="s">
        <v>26</v>
      </c>
      <c r="I67"/>
      <c r="J67"/>
    </row>
    <row r="68" spans="1:12" ht="39.950000000000003" customHeight="1">
      <c r="A68" s="104" t="s">
        <v>12</v>
      </c>
      <c r="B68" s="104" t="s">
        <v>27</v>
      </c>
      <c r="C68" s="104" t="s">
        <v>51</v>
      </c>
      <c r="D68" s="104" t="s">
        <v>52</v>
      </c>
      <c r="E68" s="104" t="s">
        <v>53</v>
      </c>
      <c r="F68" s="121" t="s">
        <v>17</v>
      </c>
      <c r="G68" s="122"/>
      <c r="H68" s="88" t="s">
        <v>28</v>
      </c>
      <c r="I68"/>
      <c r="J68"/>
    </row>
    <row r="69" spans="1:12" ht="39.950000000000003" customHeight="1">
      <c r="A69" s="104">
        <v>1</v>
      </c>
      <c r="B69" s="107">
        <v>20</v>
      </c>
      <c r="C69" s="125">
        <v>100</v>
      </c>
      <c r="D69" s="107" t="s">
        <v>32</v>
      </c>
      <c r="E69" s="125">
        <f>B69*C69</f>
        <v>2000</v>
      </c>
      <c r="F69" s="226" t="s">
        <v>50</v>
      </c>
      <c r="G69" s="226"/>
      <c r="H69" s="15" t="s">
        <v>37</v>
      </c>
      <c r="I69"/>
      <c r="J69"/>
    </row>
    <row r="70" spans="1:12" ht="39.950000000000003" customHeight="1">
      <c r="A70" s="104">
        <v>2</v>
      </c>
      <c r="B70" s="107">
        <v>2</v>
      </c>
      <c r="C70" s="125">
        <v>450</v>
      </c>
      <c r="D70" s="107" t="s">
        <v>32</v>
      </c>
      <c r="E70" s="125">
        <f>B70*C70</f>
        <v>900</v>
      </c>
      <c r="F70" s="226" t="s">
        <v>118</v>
      </c>
      <c r="G70" s="226"/>
      <c r="H70" s="15" t="s">
        <v>29</v>
      </c>
      <c r="I70"/>
      <c r="J70"/>
    </row>
    <row r="71" spans="1:12" ht="39.950000000000003" customHeight="1">
      <c r="A71" s="104">
        <v>3</v>
      </c>
      <c r="B71" s="107">
        <v>1</v>
      </c>
      <c r="C71" s="125">
        <v>900</v>
      </c>
      <c r="D71" s="107" t="s">
        <v>32</v>
      </c>
      <c r="E71" s="125">
        <f>B71*C71</f>
        <v>900</v>
      </c>
      <c r="F71" s="226" t="s">
        <v>54</v>
      </c>
      <c r="G71" s="226"/>
      <c r="H71" s="88" t="s">
        <v>30</v>
      </c>
      <c r="I71"/>
      <c r="J71"/>
    </row>
    <row r="72" spans="1:12" ht="39.950000000000003" customHeight="1">
      <c r="A72" s="104">
        <v>4</v>
      </c>
      <c r="B72" s="107"/>
      <c r="C72" s="125"/>
      <c r="D72" s="107"/>
      <c r="E72" s="125"/>
      <c r="F72" s="226"/>
      <c r="G72" s="226"/>
      <c r="H72" s="26"/>
      <c r="I72" s="26"/>
      <c r="J72" s="26"/>
    </row>
    <row r="73" spans="1:12" ht="39.950000000000003" customHeight="1">
      <c r="A73" s="104">
        <v>5</v>
      </c>
      <c r="B73" s="107"/>
      <c r="C73" s="125"/>
      <c r="D73" s="107"/>
      <c r="E73" s="125"/>
      <c r="F73" s="226"/>
      <c r="G73" s="226"/>
      <c r="H73" s="123" t="s">
        <v>31</v>
      </c>
      <c r="I73"/>
      <c r="J73"/>
    </row>
    <row r="74" spans="1:12" ht="39.950000000000003" customHeight="1">
      <c r="A74" s="104">
        <v>6</v>
      </c>
      <c r="B74" s="107">
        <v>0</v>
      </c>
      <c r="C74" s="107"/>
      <c r="D74" s="107" t="s">
        <v>32</v>
      </c>
      <c r="E74" s="125"/>
      <c r="F74" s="226"/>
      <c r="G74" s="226"/>
      <c r="H74" s="227" t="s">
        <v>120</v>
      </c>
      <c r="I74" s="228"/>
      <c r="J74" s="228"/>
      <c r="K74" s="228"/>
      <c r="L74" s="228"/>
    </row>
    <row r="75" spans="1:12" ht="39.950000000000003" customHeight="1">
      <c r="A75" s="104"/>
      <c r="B75" s="104"/>
      <c r="C75" s="104"/>
      <c r="D75" s="104"/>
      <c r="E75" s="126">
        <f>SUM(E69:E74)</f>
        <v>3800</v>
      </c>
      <c r="F75" s="121"/>
      <c r="G75" s="122"/>
      <c r="H75" s="228"/>
      <c r="I75" s="228"/>
      <c r="J75" s="228"/>
      <c r="K75" s="228"/>
      <c r="L75" s="228"/>
    </row>
    <row r="76" spans="1:12">
      <c r="A76"/>
      <c r="B76"/>
      <c r="C76"/>
      <c r="D76"/>
      <c r="E76"/>
      <c r="F76"/>
      <c r="H76" s="228"/>
      <c r="I76" s="228"/>
      <c r="J76" s="228"/>
      <c r="K76" s="228"/>
      <c r="L76" s="228"/>
    </row>
    <row r="77" spans="1:12">
      <c r="A77"/>
      <c r="B77"/>
      <c r="C77"/>
      <c r="D77"/>
      <c r="E77"/>
      <c r="F77"/>
      <c r="H77" s="228"/>
      <c r="I77" s="228"/>
      <c r="J77" s="228"/>
      <c r="K77" s="228"/>
      <c r="L77" s="228"/>
    </row>
    <row r="78" spans="1:12" ht="30" customHeight="1">
      <c r="A78"/>
      <c r="B78"/>
      <c r="C78"/>
      <c r="D78"/>
      <c r="E78"/>
      <c r="F78"/>
      <c r="H78" s="228"/>
      <c r="I78" s="228"/>
      <c r="J78" s="228"/>
      <c r="K78" s="228"/>
      <c r="L78" s="228"/>
    </row>
    <row r="79" spans="1:12" ht="30" customHeight="1">
      <c r="A79"/>
      <c r="B79"/>
      <c r="C79"/>
      <c r="D79"/>
      <c r="E79"/>
      <c r="F79"/>
      <c r="H79" s="228"/>
      <c r="I79" s="228"/>
      <c r="J79" s="228"/>
      <c r="K79" s="228"/>
      <c r="L79" s="228"/>
    </row>
    <row r="80" spans="1:12" ht="30" customHeight="1">
      <c r="A80"/>
      <c r="B80"/>
      <c r="C80"/>
      <c r="D80"/>
      <c r="E80"/>
      <c r="F80"/>
      <c r="H80" s="228"/>
      <c r="I80" s="228"/>
      <c r="J80" s="228"/>
      <c r="K80" s="228"/>
      <c r="L80" s="228"/>
    </row>
    <row r="81" spans="1:12" ht="30" customHeight="1">
      <c r="A81"/>
      <c r="B81"/>
      <c r="C81"/>
      <c r="D81"/>
      <c r="E81"/>
      <c r="F81"/>
      <c r="H81" s="228"/>
      <c r="I81" s="228"/>
      <c r="J81" s="228"/>
      <c r="K81" s="228"/>
      <c r="L81" s="228"/>
    </row>
    <row r="82" spans="1:12" ht="30" customHeight="1">
      <c r="A82" s="26"/>
      <c r="B82" s="45"/>
      <c r="C82" s="45"/>
      <c r="D82"/>
      <c r="E82"/>
      <c r="F82" s="26"/>
      <c r="H82" s="228"/>
      <c r="I82" s="228"/>
      <c r="J82" s="228"/>
      <c r="K82" s="228"/>
      <c r="L82" s="228"/>
    </row>
    <row r="83" spans="1:12" ht="30" customHeight="1">
      <c r="A83" s="26"/>
      <c r="B83" s="45"/>
      <c r="C83" s="45"/>
      <c r="D83"/>
      <c r="E83"/>
      <c r="F83" s="26"/>
      <c r="H83" s="228"/>
      <c r="I83" s="228"/>
      <c r="J83" s="228"/>
      <c r="K83" s="228"/>
      <c r="L83" s="228"/>
    </row>
    <row r="84" spans="1:12" ht="30" customHeight="1">
      <c r="H84" s="228"/>
      <c r="I84" s="228"/>
      <c r="J84" s="228"/>
      <c r="K84" s="228"/>
      <c r="L84" s="228"/>
    </row>
    <row r="85" spans="1:12" ht="30" customHeight="1">
      <c r="H85" s="228"/>
      <c r="I85" s="228"/>
      <c r="J85" s="228"/>
      <c r="K85" s="228"/>
      <c r="L85" s="228"/>
    </row>
    <row r="86" spans="1:12" ht="30" customHeight="1">
      <c r="H86" s="228"/>
      <c r="I86" s="228"/>
      <c r="J86" s="228"/>
      <c r="K86" s="228"/>
      <c r="L86" s="228"/>
    </row>
    <row r="87" spans="1:12" ht="30" customHeight="1">
      <c r="H87" s="228"/>
      <c r="I87" s="228"/>
      <c r="J87" s="228"/>
      <c r="K87" s="228"/>
      <c r="L87" s="228"/>
    </row>
  </sheetData>
  <mergeCells count="33">
    <mergeCell ref="A6:B6"/>
    <mergeCell ref="C6:G6"/>
    <mergeCell ref="Y22:Z22"/>
    <mergeCell ref="A3:B3"/>
    <mergeCell ref="C3:H3"/>
    <mergeCell ref="A4:B4"/>
    <mergeCell ref="H12:M12"/>
    <mergeCell ref="K13:L13"/>
    <mergeCell ref="C4:H4"/>
    <mergeCell ref="A5:B5"/>
    <mergeCell ref="A7:B7"/>
    <mergeCell ref="A9:B9"/>
    <mergeCell ref="J6:M8"/>
    <mergeCell ref="A12:G12"/>
    <mergeCell ref="Y14:AB14"/>
    <mergeCell ref="Y15:AB21"/>
    <mergeCell ref="Y23:AB24"/>
    <mergeCell ref="A38:J38"/>
    <mergeCell ref="A39:E39"/>
    <mergeCell ref="A40:H40"/>
    <mergeCell ref="Y29:Z29"/>
    <mergeCell ref="Y30:AB31"/>
    <mergeCell ref="A41:H41"/>
    <mergeCell ref="O41:Q42"/>
    <mergeCell ref="A42:H42"/>
    <mergeCell ref="F74:G74"/>
    <mergeCell ref="H74:L87"/>
    <mergeCell ref="A58:H58"/>
    <mergeCell ref="F69:G69"/>
    <mergeCell ref="F70:G70"/>
    <mergeCell ref="F71:G71"/>
    <mergeCell ref="F72:G72"/>
    <mergeCell ref="F73:G73"/>
  </mergeCells>
  <phoneticPr fontId="27" type="noConversion"/>
  <printOptions horizontalCentered="1"/>
  <pageMargins left="0.2" right="0.2" top="0.28000000000000003" bottom="0.28000000000000003" header="0.2" footer="0.2"/>
  <pageSetup scale="3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06"/>
  <sheetViews>
    <sheetView topLeftCell="A22" zoomScale="55" zoomScaleNormal="55" workbookViewId="0">
      <selection activeCell="M27" sqref="M27"/>
    </sheetView>
  </sheetViews>
  <sheetFormatPr defaultRowHeight="15"/>
  <cols>
    <col min="1" max="1" width="11.44140625" style="8" customWidth="1"/>
    <col min="2" max="2" width="13.44140625" style="8" customWidth="1"/>
    <col min="3" max="3" width="18.109375" style="8" customWidth="1"/>
    <col min="4" max="4" width="10.88671875" style="179" bestFit="1" customWidth="1"/>
    <col min="5" max="5" width="9.77734375" style="179" customWidth="1"/>
    <col min="6" max="6" width="20.88671875" style="179" customWidth="1"/>
    <col min="7" max="7" width="35.109375" style="47" customWidth="1"/>
    <col min="8" max="8" width="42.21875" style="47" customWidth="1"/>
    <col min="9" max="9" width="17.44140625" style="47" customWidth="1"/>
    <col min="10" max="10" width="9.6640625" style="47" customWidth="1"/>
    <col min="11" max="11" width="14.5546875" style="8" customWidth="1"/>
    <col min="12" max="12" width="14.21875" style="48" customWidth="1"/>
    <col min="13" max="13" width="40.109375" style="8" customWidth="1"/>
    <col min="14" max="14" width="1.77734375" style="8" customWidth="1"/>
    <col min="15" max="15" width="18.88671875" style="8" customWidth="1"/>
    <col min="16" max="16" width="9.88671875" style="8" customWidth="1"/>
    <col min="17" max="17" width="10.77734375" style="6" customWidth="1"/>
    <col min="18" max="18" width="10.77734375" style="7" customWidth="1"/>
    <col min="19" max="19" width="9.5546875" style="8" customWidth="1"/>
    <col min="20" max="20" width="7.6640625" style="8" customWidth="1"/>
    <col min="21" max="21" width="8.88671875" style="8" customWidth="1"/>
    <col min="22" max="22" width="9" style="8" customWidth="1"/>
    <col min="23" max="23" width="8.77734375" style="8" customWidth="1"/>
    <col min="24" max="24" width="12.21875" style="8" customWidth="1"/>
    <col min="25" max="28" width="9.88671875" style="8" customWidth="1"/>
    <col min="29" max="30" width="8.77734375" style="8" customWidth="1"/>
    <col min="31" max="31" width="8.109375" style="8" bestFit="1" customWidth="1"/>
    <col min="32" max="34" width="16.44140625" style="8" customWidth="1"/>
    <col min="35" max="16384" width="8.88671875" style="8"/>
  </cols>
  <sheetData>
    <row r="1" spans="1:34" ht="35.25" customHeight="1">
      <c r="A1" s="150" t="s">
        <v>0</v>
      </c>
      <c r="B1" s="151"/>
      <c r="C1" s="151"/>
      <c r="D1" s="152"/>
      <c r="E1" s="152"/>
      <c r="F1" s="153"/>
      <c r="G1" s="75" t="s">
        <v>1</v>
      </c>
      <c r="H1" s="137">
        <v>42585</v>
      </c>
      <c r="I1" s="149"/>
      <c r="J1" s="5"/>
      <c r="K1" s="153"/>
      <c r="L1" s="153"/>
      <c r="M1" s="153"/>
      <c r="N1" s="153"/>
      <c r="O1" s="153"/>
      <c r="P1" s="153"/>
    </row>
    <row r="2" spans="1:34" ht="35.25" customHeight="1">
      <c r="A2" s="154"/>
      <c r="B2" s="153"/>
      <c r="C2" s="153"/>
      <c r="D2" s="153"/>
      <c r="E2" s="153"/>
      <c r="F2" s="153"/>
      <c r="G2" s="155"/>
      <c r="H2" s="11"/>
      <c r="I2" s="11"/>
      <c r="J2" s="11"/>
      <c r="K2" s="153"/>
      <c r="L2" s="153"/>
      <c r="M2" s="153"/>
      <c r="N2" s="153"/>
      <c r="O2" s="153"/>
      <c r="P2" s="153"/>
    </row>
    <row r="3" spans="1:34" ht="35.25" customHeight="1">
      <c r="A3" s="206" t="s">
        <v>2</v>
      </c>
      <c r="B3" s="206"/>
      <c r="C3" s="207" t="s">
        <v>57</v>
      </c>
      <c r="D3" s="207"/>
      <c r="E3" s="207"/>
      <c r="F3" s="207"/>
      <c r="G3" s="207"/>
      <c r="H3" s="207"/>
      <c r="I3" s="149"/>
      <c r="J3" s="13"/>
      <c r="K3" s="156"/>
      <c r="L3" s="157"/>
      <c r="M3" s="158"/>
      <c r="N3" s="158"/>
      <c r="O3" s="158"/>
      <c r="P3" s="159"/>
    </row>
    <row r="4" spans="1:34" ht="35.25" customHeight="1">
      <c r="A4" s="206" t="s">
        <v>3</v>
      </c>
      <c r="B4" s="206"/>
      <c r="C4" s="207" t="s">
        <v>122</v>
      </c>
      <c r="D4" s="207"/>
      <c r="E4" s="207"/>
      <c r="F4" s="207"/>
      <c r="G4" s="207"/>
      <c r="H4" s="207"/>
      <c r="I4" s="149"/>
      <c r="J4" s="13"/>
      <c r="K4" s="160"/>
      <c r="L4" s="157"/>
      <c r="M4" s="161"/>
      <c r="N4" s="161"/>
      <c r="O4" s="161"/>
      <c r="P4" s="159"/>
    </row>
    <row r="5" spans="1:34" ht="45" customHeight="1" thickBot="1">
      <c r="A5" s="208" t="s">
        <v>4</v>
      </c>
      <c r="B5" s="208"/>
      <c r="C5" s="77"/>
      <c r="D5" s="162"/>
      <c r="E5" s="149"/>
      <c r="F5" s="76" t="s">
        <v>5</v>
      </c>
      <c r="G5" s="137">
        <v>43252</v>
      </c>
      <c r="H5" s="149"/>
      <c r="I5" s="149"/>
      <c r="J5" s="13"/>
      <c r="K5" s="160"/>
      <c r="L5" s="157"/>
      <c r="M5" s="161"/>
      <c r="N5" s="161"/>
      <c r="O5" s="161"/>
      <c r="P5" s="159"/>
    </row>
    <row r="6" spans="1:34" ht="78.2" customHeight="1" thickTop="1">
      <c r="A6" s="204" t="s">
        <v>6</v>
      </c>
      <c r="B6" s="204"/>
      <c r="C6" s="205" t="s">
        <v>40</v>
      </c>
      <c r="D6" s="205"/>
      <c r="E6" s="205"/>
      <c r="F6" s="205"/>
      <c r="G6" s="205"/>
      <c r="H6" s="149"/>
      <c r="I6" s="74" t="s">
        <v>7</v>
      </c>
      <c r="J6" s="213" t="s">
        <v>68</v>
      </c>
      <c r="K6" s="214"/>
      <c r="L6" s="214"/>
      <c r="M6" s="215"/>
      <c r="N6" s="149"/>
      <c r="P6" s="159"/>
    </row>
    <row r="7" spans="1:34" ht="28.5" customHeight="1">
      <c r="A7" s="208" t="s">
        <v>8</v>
      </c>
      <c r="B7" s="208"/>
      <c r="C7" s="138">
        <v>400000</v>
      </c>
      <c r="D7" s="135"/>
      <c r="E7" s="79"/>
      <c r="F7" s="79"/>
      <c r="G7" s="80"/>
      <c r="H7" s="13"/>
      <c r="I7" s="13"/>
      <c r="J7" s="216"/>
      <c r="K7" s="217"/>
      <c r="L7" s="217"/>
      <c r="M7" s="218"/>
      <c r="N7" s="159"/>
      <c r="O7" s="159"/>
      <c r="P7" s="159"/>
    </row>
    <row r="8" spans="1:34" ht="15" customHeight="1" thickBot="1">
      <c r="A8" s="134"/>
      <c r="B8" s="89"/>
      <c r="C8" s="81"/>
      <c r="D8" s="79"/>
      <c r="E8" s="79"/>
      <c r="F8" s="79"/>
      <c r="G8" s="80"/>
      <c r="H8" s="13"/>
      <c r="I8" s="13"/>
      <c r="J8" s="219"/>
      <c r="K8" s="220"/>
      <c r="L8" s="220"/>
      <c r="M8" s="221"/>
      <c r="N8" s="166"/>
      <c r="O8" s="166"/>
      <c r="P8" s="159"/>
    </row>
    <row r="9" spans="1:34" ht="28.5" customHeight="1" thickTop="1">
      <c r="A9" s="208" t="s">
        <v>33</v>
      </c>
      <c r="B9" s="208"/>
      <c r="C9" s="87" t="s">
        <v>56</v>
      </c>
      <c r="D9" s="135"/>
      <c r="E9" s="79"/>
      <c r="F9" s="79"/>
      <c r="G9" s="80"/>
      <c r="H9" s="131"/>
      <c r="I9" s="13"/>
      <c r="J9" s="13"/>
      <c r="K9" s="159"/>
      <c r="L9" s="159"/>
      <c r="M9" s="159"/>
      <c r="N9" s="159"/>
      <c r="O9" s="159"/>
      <c r="P9" s="159"/>
    </row>
    <row r="10" spans="1:34" ht="28.5" customHeight="1">
      <c r="A10" s="154"/>
      <c r="B10" s="134"/>
      <c r="C10" s="149"/>
      <c r="D10" s="149"/>
      <c r="E10" s="164"/>
      <c r="F10" s="164"/>
      <c r="G10" s="163"/>
      <c r="H10" s="13"/>
      <c r="I10" s="13"/>
      <c r="J10" s="13"/>
      <c r="K10" s="159"/>
      <c r="L10" s="159"/>
      <c r="M10" s="159"/>
      <c r="N10" s="159"/>
      <c r="O10" s="159"/>
      <c r="P10" s="159"/>
    </row>
    <row r="11" spans="1:34" ht="15" customHeight="1">
      <c r="A11" s="154"/>
      <c r="B11" s="159"/>
      <c r="C11" s="159"/>
      <c r="D11" s="164"/>
      <c r="E11" s="164"/>
      <c r="F11" s="164"/>
      <c r="G11" s="163"/>
      <c r="H11" s="13"/>
      <c r="I11" s="13"/>
      <c r="J11" s="13"/>
      <c r="K11" s="165"/>
      <c r="L11" s="159"/>
      <c r="M11" s="166"/>
      <c r="N11" s="166"/>
      <c r="O11" s="166"/>
      <c r="P11" s="159"/>
    </row>
    <row r="12" spans="1:34" ht="30" customHeight="1" thickBot="1">
      <c r="A12" s="209" t="s">
        <v>9</v>
      </c>
      <c r="B12" s="209"/>
      <c r="C12" s="209"/>
      <c r="D12" s="209"/>
      <c r="E12" s="209"/>
      <c r="F12" s="209"/>
      <c r="G12" s="209"/>
      <c r="H12" s="210" t="s">
        <v>10</v>
      </c>
      <c r="I12" s="210"/>
      <c r="J12" s="210"/>
      <c r="K12" s="210"/>
      <c r="L12" s="210"/>
      <c r="M12" s="210"/>
      <c r="N12" s="167"/>
      <c r="O12" s="167"/>
      <c r="P12" s="159"/>
    </row>
    <row r="13" spans="1:34" ht="45.2" customHeight="1" thickBot="1">
      <c r="A13" s="82"/>
      <c r="B13" s="82"/>
      <c r="C13" s="82"/>
      <c r="D13" s="83"/>
      <c r="E13" s="83"/>
      <c r="F13" s="83"/>
      <c r="G13" s="83"/>
      <c r="H13" s="84"/>
      <c r="I13" s="85"/>
      <c r="J13" s="85"/>
      <c r="K13" s="211" t="s">
        <v>11</v>
      </c>
      <c r="L13" s="212"/>
      <c r="M13" s="168"/>
      <c r="N13" s="168"/>
      <c r="O13" s="168"/>
      <c r="P13" s="168"/>
    </row>
    <row r="14" spans="1:34" ht="81.2" customHeight="1" thickBot="1">
      <c r="A14" s="86" t="s">
        <v>39</v>
      </c>
      <c r="B14" s="86" t="s">
        <v>35</v>
      </c>
      <c r="C14" s="86" t="s">
        <v>13</v>
      </c>
      <c r="D14" s="86" t="s">
        <v>14</v>
      </c>
      <c r="E14" s="86" t="s">
        <v>15</v>
      </c>
      <c r="F14" s="86" t="s">
        <v>34</v>
      </c>
      <c r="G14" s="86" t="s">
        <v>16</v>
      </c>
      <c r="H14" s="86" t="s">
        <v>17</v>
      </c>
      <c r="I14" s="86" t="s">
        <v>38</v>
      </c>
      <c r="J14" s="86" t="s">
        <v>36</v>
      </c>
      <c r="K14" s="201" t="s">
        <v>18</v>
      </c>
      <c r="L14" s="86" t="s">
        <v>19</v>
      </c>
      <c r="M14" s="86" t="s">
        <v>20</v>
      </c>
      <c r="N14" s="169"/>
      <c r="O14" s="28" t="s">
        <v>40</v>
      </c>
      <c r="P14" s="28"/>
      <c r="Q14" s="29"/>
      <c r="R14" s="30"/>
      <c r="S14" s="51"/>
      <c r="T14" s="170"/>
      <c r="U14" s="31"/>
      <c r="V14" s="31"/>
      <c r="W14" s="170"/>
      <c r="X14" s="149"/>
      <c r="Y14" s="205"/>
      <c r="Z14" s="205"/>
      <c r="AA14" s="205"/>
      <c r="AB14" s="205"/>
      <c r="AC14" s="51"/>
      <c r="AD14" s="33"/>
      <c r="AE14" s="34"/>
      <c r="AF14" s="171"/>
      <c r="AG14" s="172"/>
      <c r="AH14" s="37"/>
    </row>
    <row r="15" spans="1:34" ht="159.94999999999999" customHeight="1">
      <c r="A15" s="90">
        <v>1</v>
      </c>
      <c r="B15" s="147">
        <v>1</v>
      </c>
      <c r="C15" s="127">
        <f>($C$7*B15)</f>
        <v>400000</v>
      </c>
      <c r="D15" s="94" t="s">
        <v>32</v>
      </c>
      <c r="E15" s="95"/>
      <c r="F15" s="143"/>
      <c r="G15" s="143"/>
      <c r="H15" s="145" t="s">
        <v>123</v>
      </c>
      <c r="I15" s="95"/>
      <c r="J15" s="95"/>
      <c r="K15" s="101">
        <v>0.49480000000000002</v>
      </c>
      <c r="L15" s="91">
        <f>B15*K15</f>
        <v>0.49480000000000002</v>
      </c>
      <c r="M15" s="139" t="s">
        <v>67</v>
      </c>
      <c r="N15" s="141"/>
      <c r="O15" s="50"/>
      <c r="P15" s="175"/>
      <c r="Q15" s="149"/>
      <c r="R15" s="175"/>
      <c r="S15" s="168"/>
      <c r="T15" s="168"/>
      <c r="U15" s="168"/>
      <c r="V15" s="168"/>
      <c r="X15" s="38"/>
      <c r="Y15" s="205"/>
      <c r="Z15" s="205"/>
      <c r="AA15" s="205"/>
      <c r="AB15" s="205"/>
      <c r="AD15" s="38"/>
      <c r="AE15" s="38"/>
      <c r="AF15" s="173"/>
      <c r="AG15" s="173"/>
      <c r="AH15" s="173"/>
    </row>
    <row r="16" spans="1:34" ht="45" customHeight="1">
      <c r="A16" s="97">
        <f>A15+1</f>
        <v>2</v>
      </c>
      <c r="B16" s="198" t="s">
        <v>76</v>
      </c>
      <c r="C16" s="128">
        <f t="shared" ref="C16:C47" si="0">($C$7*B16)</f>
        <v>400000</v>
      </c>
      <c r="D16" s="98" t="s">
        <v>32</v>
      </c>
      <c r="E16" s="99"/>
      <c r="F16" s="143"/>
      <c r="G16" s="143"/>
      <c r="H16" s="100" t="s">
        <v>96</v>
      </c>
      <c r="I16" s="99"/>
      <c r="J16" s="99"/>
      <c r="K16" s="101">
        <v>0</v>
      </c>
      <c r="L16" s="102">
        <f t="shared" ref="L16:L54" si="1">B16*K16</f>
        <v>0</v>
      </c>
      <c r="M16" s="103" t="s">
        <v>95</v>
      </c>
      <c r="N16" s="149"/>
      <c r="O16" s="50"/>
      <c r="P16" s="175"/>
      <c r="Q16" s="149"/>
      <c r="R16" s="175"/>
      <c r="S16" s="168"/>
      <c r="T16" s="168"/>
      <c r="U16" s="168"/>
      <c r="V16" s="168"/>
      <c r="X16" s="38"/>
      <c r="Y16" s="205"/>
      <c r="Z16" s="205"/>
      <c r="AA16" s="205"/>
      <c r="AB16" s="205"/>
      <c r="AD16" s="38"/>
      <c r="AE16" s="38"/>
      <c r="AF16" s="173"/>
      <c r="AG16" s="173"/>
      <c r="AH16" s="173"/>
    </row>
    <row r="17" spans="1:34" ht="54.95" customHeight="1">
      <c r="A17" s="97">
        <f t="shared" ref="A17:A54" si="2">A16+1</f>
        <v>3</v>
      </c>
      <c r="B17" s="199" t="s">
        <v>82</v>
      </c>
      <c r="C17" s="128">
        <f t="shared" si="0"/>
        <v>2400000</v>
      </c>
      <c r="D17" s="98" t="s">
        <v>32</v>
      </c>
      <c r="E17" s="99"/>
      <c r="F17" s="143" t="s">
        <v>59</v>
      </c>
      <c r="G17" s="143" t="s">
        <v>86</v>
      </c>
      <c r="H17" s="148" t="s">
        <v>186</v>
      </c>
      <c r="I17" s="99"/>
      <c r="J17" s="99"/>
      <c r="K17" s="101">
        <v>6.1855670103092789E-3</v>
      </c>
      <c r="L17" s="102">
        <f t="shared" si="1"/>
        <v>3.7113402061855677E-2</v>
      </c>
      <c r="M17" s="103"/>
      <c r="N17" s="141"/>
      <c r="O17" s="50"/>
      <c r="P17" s="175"/>
      <c r="Q17" s="149"/>
      <c r="R17" s="175"/>
      <c r="S17" s="168"/>
      <c r="T17" s="168"/>
      <c r="U17" s="168"/>
      <c r="V17" s="168"/>
      <c r="X17" s="38"/>
      <c r="Y17" s="205"/>
      <c r="Z17" s="205"/>
      <c r="AA17" s="205"/>
      <c r="AB17" s="205"/>
      <c r="AD17" s="38"/>
      <c r="AE17" s="38"/>
      <c r="AF17" s="173"/>
      <c r="AG17" s="173"/>
      <c r="AH17" s="173"/>
    </row>
    <row r="18" spans="1:34" ht="54.95" customHeight="1">
      <c r="A18" s="97">
        <f t="shared" si="2"/>
        <v>4</v>
      </c>
      <c r="B18" s="199" t="s">
        <v>124</v>
      </c>
      <c r="C18" s="128">
        <f t="shared" si="0"/>
        <v>4400000</v>
      </c>
      <c r="D18" s="98" t="s">
        <v>32</v>
      </c>
      <c r="E18" s="99"/>
      <c r="F18" s="143" t="s">
        <v>59</v>
      </c>
      <c r="G18" s="143" t="s">
        <v>194</v>
      </c>
      <c r="H18" s="148" t="s">
        <v>187</v>
      </c>
      <c r="I18" s="99"/>
      <c r="J18" s="99"/>
      <c r="K18" s="101">
        <v>6.1855670103092789E-3</v>
      </c>
      <c r="L18" s="102">
        <f t="shared" si="1"/>
        <v>6.804123711340207E-2</v>
      </c>
      <c r="M18" s="103"/>
      <c r="N18" s="149"/>
      <c r="O18" s="50"/>
      <c r="P18" s="175"/>
      <c r="Q18" s="149"/>
      <c r="R18" s="175"/>
      <c r="S18" s="168"/>
      <c r="T18" s="168"/>
      <c r="U18" s="168"/>
      <c r="V18" s="168"/>
      <c r="X18" s="38"/>
      <c r="Y18" s="205"/>
      <c r="Z18" s="205"/>
      <c r="AA18" s="205"/>
      <c r="AB18" s="205"/>
      <c r="AD18" s="38"/>
      <c r="AE18" s="38"/>
      <c r="AF18" s="173"/>
      <c r="AG18" s="173"/>
      <c r="AH18" s="173"/>
    </row>
    <row r="19" spans="1:34" ht="120" customHeight="1">
      <c r="A19" s="97">
        <f t="shared" si="2"/>
        <v>5</v>
      </c>
      <c r="B19" s="199" t="s">
        <v>76</v>
      </c>
      <c r="C19" s="128">
        <f t="shared" si="0"/>
        <v>400000</v>
      </c>
      <c r="D19" s="98" t="s">
        <v>32</v>
      </c>
      <c r="E19" s="99"/>
      <c r="F19" s="143" t="s">
        <v>59</v>
      </c>
      <c r="G19" s="143" t="s">
        <v>195</v>
      </c>
      <c r="H19" s="148" t="s">
        <v>188</v>
      </c>
      <c r="I19" s="99"/>
      <c r="J19" s="99"/>
      <c r="K19" s="101">
        <v>7.2164948453608251E-3</v>
      </c>
      <c r="L19" s="102">
        <f t="shared" si="1"/>
        <v>7.2164948453608251E-3</v>
      </c>
      <c r="M19" s="103"/>
      <c r="N19" s="140"/>
      <c r="O19" s="50"/>
      <c r="P19" s="175"/>
      <c r="Q19" s="149"/>
      <c r="R19" s="175"/>
      <c r="S19" s="168"/>
      <c r="T19" s="168"/>
      <c r="U19" s="168"/>
      <c r="V19" s="168"/>
      <c r="X19" s="38"/>
      <c r="Y19" s="205"/>
      <c r="Z19" s="205"/>
      <c r="AA19" s="205"/>
      <c r="AB19" s="205"/>
      <c r="AD19" s="38"/>
      <c r="AE19" s="38"/>
      <c r="AF19" s="173"/>
      <c r="AG19" s="173"/>
      <c r="AH19" s="173"/>
    </row>
    <row r="20" spans="1:34" ht="54.95" customHeight="1">
      <c r="A20" s="97">
        <f t="shared" si="2"/>
        <v>6</v>
      </c>
      <c r="B20" s="199" t="s">
        <v>78</v>
      </c>
      <c r="C20" s="128">
        <f t="shared" si="0"/>
        <v>800000</v>
      </c>
      <c r="D20" s="98" t="s">
        <v>32</v>
      </c>
      <c r="E20" s="99"/>
      <c r="F20" s="143" t="s">
        <v>59</v>
      </c>
      <c r="G20" s="143" t="s">
        <v>196</v>
      </c>
      <c r="H20" s="148" t="s">
        <v>189</v>
      </c>
      <c r="I20" s="99"/>
      <c r="J20" s="99"/>
      <c r="K20" s="101">
        <v>7.2164948453608251E-3</v>
      </c>
      <c r="L20" s="102">
        <f t="shared" si="1"/>
        <v>1.443298969072165E-2</v>
      </c>
      <c r="M20" s="103"/>
      <c r="N20" s="140"/>
      <c r="O20" s="50"/>
      <c r="P20" s="175"/>
      <c r="Q20" s="149"/>
      <c r="R20" s="175"/>
      <c r="S20" s="168"/>
      <c r="T20" s="168"/>
      <c r="U20" s="168"/>
      <c r="V20" s="168"/>
      <c r="X20" s="38"/>
      <c r="Y20" s="205"/>
      <c r="Z20" s="205"/>
      <c r="AA20" s="205"/>
      <c r="AB20" s="205"/>
      <c r="AD20" s="38"/>
      <c r="AE20" s="38"/>
      <c r="AF20" s="173"/>
      <c r="AG20" s="173"/>
      <c r="AH20" s="173"/>
    </row>
    <row r="21" spans="1:34" ht="54.95" customHeight="1">
      <c r="A21" s="97">
        <f t="shared" si="2"/>
        <v>7</v>
      </c>
      <c r="B21" s="199" t="s">
        <v>125</v>
      </c>
      <c r="C21" s="128">
        <f t="shared" si="0"/>
        <v>9200000</v>
      </c>
      <c r="D21" s="98" t="s">
        <v>32</v>
      </c>
      <c r="E21" s="99"/>
      <c r="F21" s="143" t="s">
        <v>59</v>
      </c>
      <c r="G21" s="143" t="s">
        <v>197</v>
      </c>
      <c r="H21" s="148" t="s">
        <v>190</v>
      </c>
      <c r="I21" s="99"/>
      <c r="J21" s="99"/>
      <c r="K21" s="101">
        <v>6.1855670103092789E-3</v>
      </c>
      <c r="L21" s="102">
        <f t="shared" si="1"/>
        <v>0.14226804123711342</v>
      </c>
      <c r="M21" s="103"/>
      <c r="N21" s="140"/>
      <c r="O21" s="50"/>
      <c r="P21" s="175"/>
      <c r="Q21" s="149"/>
      <c r="R21" s="175"/>
      <c r="S21" s="168"/>
      <c r="T21" s="168"/>
      <c r="U21" s="168"/>
      <c r="V21" s="168"/>
      <c r="Y21" s="205"/>
      <c r="Z21" s="205"/>
      <c r="AA21" s="205"/>
      <c r="AB21" s="205"/>
    </row>
    <row r="22" spans="1:34" s="149" customFormat="1" ht="54.95" customHeight="1">
      <c r="A22" s="97">
        <f t="shared" si="2"/>
        <v>8</v>
      </c>
      <c r="B22" s="199" t="s">
        <v>126</v>
      </c>
      <c r="C22" s="128">
        <f t="shared" si="0"/>
        <v>7600000</v>
      </c>
      <c r="D22" s="98" t="s">
        <v>32</v>
      </c>
      <c r="E22" s="99"/>
      <c r="F22" s="143" t="s">
        <v>59</v>
      </c>
      <c r="G22" s="143" t="s">
        <v>198</v>
      </c>
      <c r="H22" s="148" t="s">
        <v>191</v>
      </c>
      <c r="I22" s="99"/>
      <c r="J22" s="99"/>
      <c r="K22" s="101">
        <v>6.1855670103092789E-3</v>
      </c>
      <c r="L22" s="102">
        <f t="shared" si="1"/>
        <v>0.1175257731958763</v>
      </c>
      <c r="M22" s="103"/>
      <c r="N22" s="140"/>
      <c r="O22" s="50"/>
      <c r="Y22" s="205"/>
      <c r="Z22" s="205"/>
    </row>
    <row r="23" spans="1:34" s="149" customFormat="1" ht="54.95" customHeight="1">
      <c r="A23" s="97">
        <f t="shared" si="2"/>
        <v>9</v>
      </c>
      <c r="B23" s="199" t="s">
        <v>76</v>
      </c>
      <c r="C23" s="128">
        <f t="shared" si="0"/>
        <v>400000</v>
      </c>
      <c r="D23" s="98" t="s">
        <v>32</v>
      </c>
      <c r="E23" s="99"/>
      <c r="F23" s="143" t="s">
        <v>58</v>
      </c>
      <c r="G23" s="143" t="s">
        <v>134</v>
      </c>
      <c r="H23" s="148" t="s">
        <v>192</v>
      </c>
      <c r="I23" s="99"/>
      <c r="J23" s="99"/>
      <c r="K23" s="101">
        <v>7.2164948453608251E-3</v>
      </c>
      <c r="L23" s="102">
        <f t="shared" si="1"/>
        <v>7.2164948453608251E-3</v>
      </c>
      <c r="M23" s="103"/>
      <c r="N23" s="140"/>
      <c r="Y23" s="205"/>
      <c r="Z23" s="205"/>
      <c r="AA23" s="205"/>
      <c r="AB23" s="205"/>
    </row>
    <row r="24" spans="1:34" s="149" customFormat="1" ht="54.95" customHeight="1">
      <c r="A24" s="97">
        <f t="shared" si="2"/>
        <v>10</v>
      </c>
      <c r="B24" s="199" t="s">
        <v>80</v>
      </c>
      <c r="C24" s="128">
        <f t="shared" si="0"/>
        <v>1600000</v>
      </c>
      <c r="D24" s="98" t="s">
        <v>32</v>
      </c>
      <c r="E24" s="99"/>
      <c r="F24" s="143" t="s">
        <v>59</v>
      </c>
      <c r="G24" s="143" t="s">
        <v>135</v>
      </c>
      <c r="H24" s="148" t="s">
        <v>193</v>
      </c>
      <c r="I24" s="99"/>
      <c r="J24" s="99"/>
      <c r="K24" s="101">
        <v>7.2164948453608251E-3</v>
      </c>
      <c r="L24" s="102">
        <f t="shared" si="1"/>
        <v>2.88659793814433E-2</v>
      </c>
      <c r="M24" s="103"/>
      <c r="N24" s="140"/>
      <c r="Y24" s="205"/>
      <c r="Z24" s="205"/>
      <c r="AA24" s="205"/>
      <c r="AB24" s="205"/>
    </row>
    <row r="25" spans="1:34" s="149" customFormat="1" ht="54.95" customHeight="1">
      <c r="A25" s="97">
        <f t="shared" si="2"/>
        <v>11</v>
      </c>
      <c r="B25" s="199" t="s">
        <v>78</v>
      </c>
      <c r="C25" s="128">
        <f t="shared" si="0"/>
        <v>800000</v>
      </c>
      <c r="D25" s="98" t="s">
        <v>32</v>
      </c>
      <c r="E25" s="99"/>
      <c r="F25" s="200" t="s">
        <v>130</v>
      </c>
      <c r="G25" s="143" t="s">
        <v>136</v>
      </c>
      <c r="H25" s="148" t="s">
        <v>167</v>
      </c>
      <c r="I25" s="99"/>
      <c r="J25" s="99"/>
      <c r="K25" s="101">
        <v>0.2165</v>
      </c>
      <c r="L25" s="102">
        <f t="shared" si="1"/>
        <v>0.433</v>
      </c>
      <c r="M25" s="130"/>
      <c r="N25" s="140"/>
    </row>
    <row r="26" spans="1:34" s="149" customFormat="1" ht="120" customHeight="1">
      <c r="A26" s="97">
        <f t="shared" si="2"/>
        <v>12</v>
      </c>
      <c r="B26" s="199" t="s">
        <v>76</v>
      </c>
      <c r="C26" s="128">
        <f t="shared" si="0"/>
        <v>400000</v>
      </c>
      <c r="D26" s="98" t="s">
        <v>32</v>
      </c>
      <c r="E26" s="99"/>
      <c r="F26" s="143" t="s">
        <v>83</v>
      </c>
      <c r="G26" s="143" t="s">
        <v>137</v>
      </c>
      <c r="H26" s="148" t="s">
        <v>199</v>
      </c>
      <c r="I26" s="99"/>
      <c r="J26" s="99"/>
      <c r="K26" s="101">
        <v>0.39175257731958762</v>
      </c>
      <c r="L26" s="102">
        <f t="shared" si="1"/>
        <v>0.39175257731958762</v>
      </c>
      <c r="M26" s="103"/>
      <c r="N26" s="140"/>
    </row>
    <row r="27" spans="1:34" s="149" customFormat="1" ht="120" customHeight="1">
      <c r="A27" s="97">
        <f t="shared" si="2"/>
        <v>13</v>
      </c>
      <c r="B27" s="199" t="s">
        <v>76</v>
      </c>
      <c r="C27" s="128">
        <f t="shared" si="0"/>
        <v>400000</v>
      </c>
      <c r="D27" s="98" t="s">
        <v>32</v>
      </c>
      <c r="E27" s="99"/>
      <c r="F27" s="144" t="s">
        <v>114</v>
      </c>
      <c r="G27" s="144" t="s">
        <v>115</v>
      </c>
      <c r="H27" s="148" t="s">
        <v>116</v>
      </c>
      <c r="I27" s="99"/>
      <c r="J27" s="99"/>
      <c r="K27" s="101">
        <v>0.35980000000000001</v>
      </c>
      <c r="L27" s="102">
        <f t="shared" si="1"/>
        <v>0.35980000000000001</v>
      </c>
      <c r="M27" s="103" t="s">
        <v>117</v>
      </c>
      <c r="N27" s="140"/>
    </row>
    <row r="28" spans="1:34" s="149" customFormat="1" ht="54.95" customHeight="1">
      <c r="A28" s="97">
        <f t="shared" si="2"/>
        <v>14</v>
      </c>
      <c r="B28" s="199" t="s">
        <v>76</v>
      </c>
      <c r="C28" s="128">
        <f t="shared" si="0"/>
        <v>400000</v>
      </c>
      <c r="D28" s="98" t="s">
        <v>32</v>
      </c>
      <c r="E28" s="99"/>
      <c r="F28" s="148" t="s">
        <v>133</v>
      </c>
      <c r="G28" s="143" t="s">
        <v>149</v>
      </c>
      <c r="H28" s="148" t="s">
        <v>156</v>
      </c>
      <c r="I28" s="99"/>
      <c r="J28" s="99"/>
      <c r="K28" s="101">
        <v>1.6494845360824743E-2</v>
      </c>
      <c r="L28" s="102">
        <f t="shared" si="1"/>
        <v>1.6494845360824743E-2</v>
      </c>
      <c r="M28" s="103"/>
      <c r="N28" s="140"/>
    </row>
    <row r="29" spans="1:34" s="149" customFormat="1" ht="54.95" customHeight="1">
      <c r="A29" s="97">
        <f t="shared" si="2"/>
        <v>15</v>
      </c>
      <c r="B29" s="199" t="s">
        <v>76</v>
      </c>
      <c r="C29" s="128">
        <f t="shared" si="0"/>
        <v>400000</v>
      </c>
      <c r="D29" s="98" t="s">
        <v>32</v>
      </c>
      <c r="E29" s="99"/>
      <c r="F29" s="200" t="s">
        <v>61</v>
      </c>
      <c r="G29" s="143" t="s">
        <v>150</v>
      </c>
      <c r="H29" s="148" t="s">
        <v>157</v>
      </c>
      <c r="I29" s="99"/>
      <c r="J29" s="99"/>
      <c r="K29" s="101">
        <v>5.0515463917525774E-2</v>
      </c>
      <c r="L29" s="102">
        <f t="shared" si="1"/>
        <v>5.0515463917525774E-2</v>
      </c>
      <c r="M29" s="103"/>
      <c r="N29" s="140"/>
      <c r="O29" s="50"/>
      <c r="Y29" s="205"/>
      <c r="Z29" s="205"/>
    </row>
    <row r="30" spans="1:34" s="149" customFormat="1" ht="45" customHeight="1">
      <c r="A30" s="97">
        <f t="shared" si="2"/>
        <v>16</v>
      </c>
      <c r="B30" s="199" t="s">
        <v>76</v>
      </c>
      <c r="C30" s="128">
        <f t="shared" si="0"/>
        <v>400000</v>
      </c>
      <c r="D30" s="98" t="s">
        <v>32</v>
      </c>
      <c r="E30" s="99"/>
      <c r="F30" s="200" t="s">
        <v>61</v>
      </c>
      <c r="G30" s="200" t="s">
        <v>151</v>
      </c>
      <c r="H30" s="148" t="s">
        <v>158</v>
      </c>
      <c r="I30" s="99"/>
      <c r="J30" s="99"/>
      <c r="K30" s="101">
        <v>0.86599999999999999</v>
      </c>
      <c r="L30" s="102">
        <f t="shared" si="1"/>
        <v>0.86599999999999999</v>
      </c>
      <c r="M30" s="103"/>
      <c r="N30" s="140"/>
      <c r="Y30" s="205"/>
      <c r="Z30" s="205"/>
      <c r="AA30" s="205"/>
      <c r="AB30" s="205"/>
    </row>
    <row r="31" spans="1:34" s="149" customFormat="1" ht="45" customHeight="1">
      <c r="A31" s="97">
        <f t="shared" si="2"/>
        <v>17</v>
      </c>
      <c r="B31" s="199" t="s">
        <v>76</v>
      </c>
      <c r="C31" s="128">
        <f t="shared" si="0"/>
        <v>400000</v>
      </c>
      <c r="D31" s="98" t="s">
        <v>32</v>
      </c>
      <c r="E31" s="99"/>
      <c r="F31" s="200" t="s">
        <v>62</v>
      </c>
      <c r="G31" s="200" t="s">
        <v>138</v>
      </c>
      <c r="H31" s="148" t="s">
        <v>159</v>
      </c>
      <c r="I31" s="99"/>
      <c r="J31" s="99"/>
      <c r="K31" s="101">
        <v>1.2989690721649485</v>
      </c>
      <c r="L31" s="102">
        <f t="shared" si="1"/>
        <v>1.2989690721649485</v>
      </c>
      <c r="M31" s="103"/>
      <c r="N31" s="140"/>
      <c r="Y31" s="205"/>
      <c r="Z31" s="205"/>
      <c r="AA31" s="205"/>
      <c r="AB31" s="205"/>
    </row>
    <row r="32" spans="1:34" s="149" customFormat="1" ht="45" customHeight="1">
      <c r="A32" s="97">
        <f t="shared" si="2"/>
        <v>18</v>
      </c>
      <c r="B32" s="199" t="s">
        <v>76</v>
      </c>
      <c r="C32" s="128">
        <f t="shared" si="0"/>
        <v>400000</v>
      </c>
      <c r="D32" s="98" t="s">
        <v>32</v>
      </c>
      <c r="E32" s="99"/>
      <c r="F32" s="200" t="s">
        <v>131</v>
      </c>
      <c r="G32" s="200" t="s">
        <v>139</v>
      </c>
      <c r="H32" s="148" t="s">
        <v>160</v>
      </c>
      <c r="I32" s="99"/>
      <c r="J32" s="99"/>
      <c r="K32" s="101">
        <v>0.2268</v>
      </c>
      <c r="L32" s="102">
        <f t="shared" si="1"/>
        <v>0.2268</v>
      </c>
      <c r="M32" s="130"/>
      <c r="N32" s="140"/>
    </row>
    <row r="33" spans="1:28" s="149" customFormat="1" ht="45" customHeight="1">
      <c r="A33" s="97">
        <f t="shared" si="2"/>
        <v>19</v>
      </c>
      <c r="B33" s="199" t="s">
        <v>76</v>
      </c>
      <c r="C33" s="128">
        <f t="shared" si="0"/>
        <v>400000</v>
      </c>
      <c r="D33" s="98" t="s">
        <v>32</v>
      </c>
      <c r="E33" s="99"/>
      <c r="F33" s="200" t="s">
        <v>62</v>
      </c>
      <c r="G33" s="200" t="s">
        <v>140</v>
      </c>
      <c r="H33" s="148" t="s">
        <v>161</v>
      </c>
      <c r="I33" s="99"/>
      <c r="J33" s="99"/>
      <c r="K33" s="101">
        <v>2.4742268041237114</v>
      </c>
      <c r="L33" s="102">
        <f t="shared" si="1"/>
        <v>2.4742268041237114</v>
      </c>
      <c r="M33" s="103"/>
      <c r="N33" s="140"/>
    </row>
    <row r="34" spans="1:28" s="149" customFormat="1" ht="45" customHeight="1">
      <c r="A34" s="97">
        <f t="shared" si="2"/>
        <v>20</v>
      </c>
      <c r="B34" s="199" t="s">
        <v>76</v>
      </c>
      <c r="C34" s="128">
        <f t="shared" si="0"/>
        <v>400000</v>
      </c>
      <c r="D34" s="98" t="s">
        <v>32</v>
      </c>
      <c r="E34" s="99"/>
      <c r="F34" s="200" t="s">
        <v>132</v>
      </c>
      <c r="G34" s="200" t="s">
        <v>141</v>
      </c>
      <c r="H34" s="148" t="s">
        <v>162</v>
      </c>
      <c r="I34" s="99"/>
      <c r="J34" s="99"/>
      <c r="K34" s="101">
        <v>0.17219999999999999</v>
      </c>
      <c r="L34" s="102">
        <f t="shared" si="1"/>
        <v>0.17219999999999999</v>
      </c>
      <c r="M34" s="103"/>
      <c r="N34" s="140"/>
    </row>
    <row r="35" spans="1:28" s="149" customFormat="1" ht="45" customHeight="1">
      <c r="A35" s="97">
        <f t="shared" si="2"/>
        <v>21</v>
      </c>
      <c r="B35" s="199" t="s">
        <v>76</v>
      </c>
      <c r="C35" s="128">
        <f t="shared" si="0"/>
        <v>400000</v>
      </c>
      <c r="D35" s="98" t="s">
        <v>32</v>
      </c>
      <c r="E35" s="99"/>
      <c r="F35" s="200" t="s">
        <v>60</v>
      </c>
      <c r="G35" s="200" t="s">
        <v>142</v>
      </c>
      <c r="H35" s="148" t="s">
        <v>168</v>
      </c>
      <c r="I35" s="99"/>
      <c r="J35" s="99"/>
      <c r="K35" s="101">
        <v>4.0206185567010309E-3</v>
      </c>
      <c r="L35" s="102">
        <f t="shared" si="1"/>
        <v>4.0206185567010309E-3</v>
      </c>
      <c r="M35" s="130"/>
      <c r="N35" s="140"/>
    </row>
    <row r="36" spans="1:28" s="149" customFormat="1" ht="45" customHeight="1">
      <c r="A36" s="97">
        <f t="shared" si="2"/>
        <v>22</v>
      </c>
      <c r="B36" s="199" t="s">
        <v>78</v>
      </c>
      <c r="C36" s="128">
        <f t="shared" si="0"/>
        <v>800000</v>
      </c>
      <c r="D36" s="98" t="s">
        <v>32</v>
      </c>
      <c r="E36" s="99"/>
      <c r="F36" s="143" t="s">
        <v>64</v>
      </c>
      <c r="G36" s="143" t="s">
        <v>143</v>
      </c>
      <c r="H36" s="148" t="s">
        <v>169</v>
      </c>
      <c r="I36" s="99"/>
      <c r="J36" s="99"/>
      <c r="K36" s="101">
        <v>3.1958762886597938E-3</v>
      </c>
      <c r="L36" s="102">
        <f t="shared" si="1"/>
        <v>6.3917525773195876E-3</v>
      </c>
      <c r="M36" s="130"/>
      <c r="N36" s="140"/>
    </row>
    <row r="37" spans="1:28" s="149" customFormat="1" ht="45" customHeight="1">
      <c r="A37" s="97">
        <f t="shared" si="2"/>
        <v>23</v>
      </c>
      <c r="B37" s="199" t="s">
        <v>127</v>
      </c>
      <c r="C37" s="128">
        <f t="shared" si="0"/>
        <v>6800000</v>
      </c>
      <c r="D37" s="98" t="s">
        <v>32</v>
      </c>
      <c r="E37" s="99"/>
      <c r="F37" s="143" t="s">
        <v>64</v>
      </c>
      <c r="G37" s="143" t="s">
        <v>66</v>
      </c>
      <c r="H37" s="148" t="s">
        <v>170</v>
      </c>
      <c r="I37" s="99"/>
      <c r="J37" s="99"/>
      <c r="K37" s="101">
        <v>2.9896907216494842E-3</v>
      </c>
      <c r="L37" s="102">
        <f t="shared" si="1"/>
        <v>5.0824742268041234E-2</v>
      </c>
      <c r="M37" s="130"/>
      <c r="N37" s="140"/>
    </row>
    <row r="38" spans="1:28" ht="45" customHeight="1">
      <c r="A38" s="97">
        <f t="shared" si="2"/>
        <v>24</v>
      </c>
      <c r="B38" s="199" t="s">
        <v>80</v>
      </c>
      <c r="C38" s="128">
        <f t="shared" si="0"/>
        <v>1600000</v>
      </c>
      <c r="D38" s="98" t="s">
        <v>32</v>
      </c>
      <c r="E38" s="99"/>
      <c r="F38" s="143" t="s">
        <v>64</v>
      </c>
      <c r="G38" s="143" t="s">
        <v>144</v>
      </c>
      <c r="H38" s="148" t="s">
        <v>171</v>
      </c>
      <c r="I38" s="99"/>
      <c r="J38" s="99"/>
      <c r="K38" s="101">
        <v>3.1958762886597938E-3</v>
      </c>
      <c r="L38" s="102">
        <f t="shared" si="1"/>
        <v>1.2783505154639175E-2</v>
      </c>
      <c r="M38" s="202" t="s">
        <v>177</v>
      </c>
      <c r="N38" s="140"/>
      <c r="O38" s="149"/>
      <c r="P38" s="149"/>
      <c r="Q38" s="149"/>
      <c r="R38" s="175"/>
      <c r="S38" s="168"/>
      <c r="T38" s="168"/>
      <c r="U38" s="168"/>
      <c r="V38" s="168"/>
      <c r="Y38" s="38"/>
      <c r="Z38" s="38"/>
    </row>
    <row r="39" spans="1:28" s="149" customFormat="1" ht="45" customHeight="1">
      <c r="A39" s="97">
        <f t="shared" si="2"/>
        <v>25</v>
      </c>
      <c r="B39" s="199" t="s">
        <v>82</v>
      </c>
      <c r="C39" s="128">
        <f t="shared" si="0"/>
        <v>2400000</v>
      </c>
      <c r="D39" s="98" t="s">
        <v>32</v>
      </c>
      <c r="E39" s="99"/>
      <c r="F39" s="143" t="s">
        <v>64</v>
      </c>
      <c r="G39" s="143" t="s">
        <v>145</v>
      </c>
      <c r="H39" s="148" t="s">
        <v>172</v>
      </c>
      <c r="I39" s="99"/>
      <c r="J39" s="99"/>
      <c r="K39" s="101">
        <v>2.9896907216494842E-3</v>
      </c>
      <c r="L39" s="102">
        <f t="shared" si="1"/>
        <v>1.7938144329896905E-2</v>
      </c>
      <c r="M39" s="202" t="s">
        <v>178</v>
      </c>
      <c r="N39" s="140"/>
      <c r="O39" s="50"/>
    </row>
    <row r="40" spans="1:28" s="149" customFormat="1" ht="45" customHeight="1">
      <c r="A40" s="97">
        <f t="shared" si="2"/>
        <v>26</v>
      </c>
      <c r="B40" s="199" t="s">
        <v>78</v>
      </c>
      <c r="C40" s="128">
        <f t="shared" si="0"/>
        <v>800000</v>
      </c>
      <c r="D40" s="98" t="s">
        <v>32</v>
      </c>
      <c r="E40" s="99"/>
      <c r="F40" s="143" t="s">
        <v>64</v>
      </c>
      <c r="G40" s="143" t="s">
        <v>65</v>
      </c>
      <c r="H40" s="148" t="s">
        <v>173</v>
      </c>
      <c r="I40" s="99"/>
      <c r="J40" s="99"/>
      <c r="K40" s="101">
        <v>3.1958762886597938E-3</v>
      </c>
      <c r="L40" s="102">
        <f t="shared" si="1"/>
        <v>6.3917525773195876E-3</v>
      </c>
      <c r="M40" s="202" t="s">
        <v>179</v>
      </c>
      <c r="N40" s="140"/>
      <c r="O40" s="50"/>
    </row>
    <row r="41" spans="1:28" s="149" customFormat="1" ht="45" customHeight="1">
      <c r="A41" s="97">
        <f t="shared" si="2"/>
        <v>27</v>
      </c>
      <c r="B41" s="199" t="s">
        <v>78</v>
      </c>
      <c r="C41" s="128">
        <f t="shared" si="0"/>
        <v>800000</v>
      </c>
      <c r="D41" s="98" t="s">
        <v>32</v>
      </c>
      <c r="E41" s="99"/>
      <c r="F41" s="143" t="s">
        <v>64</v>
      </c>
      <c r="G41" s="143" t="s">
        <v>146</v>
      </c>
      <c r="H41" s="148" t="s">
        <v>174</v>
      </c>
      <c r="I41" s="99"/>
      <c r="J41" s="99"/>
      <c r="K41" s="101">
        <v>3.1958762886597938E-3</v>
      </c>
      <c r="L41" s="102">
        <f t="shared" si="1"/>
        <v>6.3917525773195876E-3</v>
      </c>
      <c r="M41" s="202" t="s">
        <v>180</v>
      </c>
      <c r="N41" s="140"/>
      <c r="O41" s="50"/>
    </row>
    <row r="42" spans="1:28" s="149" customFormat="1" ht="45" customHeight="1">
      <c r="A42" s="97">
        <f t="shared" si="2"/>
        <v>28</v>
      </c>
      <c r="B42" s="199" t="s">
        <v>76</v>
      </c>
      <c r="C42" s="128">
        <f t="shared" si="0"/>
        <v>400000</v>
      </c>
      <c r="D42" s="98" t="s">
        <v>32</v>
      </c>
      <c r="E42" s="99"/>
      <c r="F42" s="143" t="s">
        <v>64</v>
      </c>
      <c r="G42" s="143" t="s">
        <v>147</v>
      </c>
      <c r="H42" s="148" t="s">
        <v>175</v>
      </c>
      <c r="I42" s="99"/>
      <c r="J42" s="99"/>
      <c r="K42" s="101">
        <v>3.1958762886597938E-3</v>
      </c>
      <c r="L42" s="102">
        <f t="shared" si="1"/>
        <v>3.1958762886597938E-3</v>
      </c>
      <c r="M42" s="202" t="s">
        <v>181</v>
      </c>
      <c r="N42" s="140"/>
      <c r="O42" s="50"/>
    </row>
    <row r="43" spans="1:28" s="149" customFormat="1" ht="45" customHeight="1">
      <c r="A43" s="97">
        <f t="shared" si="2"/>
        <v>29</v>
      </c>
      <c r="B43" s="199" t="s">
        <v>76</v>
      </c>
      <c r="C43" s="128">
        <f t="shared" si="0"/>
        <v>400000</v>
      </c>
      <c r="D43" s="98" t="s">
        <v>32</v>
      </c>
      <c r="E43" s="99"/>
      <c r="F43" s="143" t="s">
        <v>64</v>
      </c>
      <c r="G43" s="143" t="s">
        <v>148</v>
      </c>
      <c r="H43" s="148" t="s">
        <v>176</v>
      </c>
      <c r="I43" s="99"/>
      <c r="J43" s="99"/>
      <c r="K43" s="101">
        <v>6.1855670103092789E-3</v>
      </c>
      <c r="L43" s="102">
        <f t="shared" si="1"/>
        <v>6.1855670103092789E-3</v>
      </c>
      <c r="M43" s="103"/>
      <c r="N43" s="140"/>
      <c r="O43" s="50"/>
    </row>
    <row r="44" spans="1:28" s="149" customFormat="1" ht="45" customHeight="1">
      <c r="A44" s="97">
        <f t="shared" si="2"/>
        <v>30</v>
      </c>
      <c r="B44" s="199" t="s">
        <v>128</v>
      </c>
      <c r="C44" s="128">
        <f t="shared" si="0"/>
        <v>4800000</v>
      </c>
      <c r="D44" s="98" t="s">
        <v>32</v>
      </c>
      <c r="E44" s="99"/>
      <c r="F44" s="200" t="s">
        <v>61</v>
      </c>
      <c r="G44" s="143" t="s">
        <v>152</v>
      </c>
      <c r="H44" s="148" t="s">
        <v>163</v>
      </c>
      <c r="I44" s="99"/>
      <c r="J44" s="99"/>
      <c r="K44" s="101">
        <v>1.020618556701031E-2</v>
      </c>
      <c r="L44" s="102">
        <f t="shared" si="1"/>
        <v>0.12247422680412372</v>
      </c>
      <c r="M44" s="130" t="s">
        <v>183</v>
      </c>
      <c r="N44" s="140"/>
      <c r="O44" s="50"/>
    </row>
    <row r="45" spans="1:28" s="149" customFormat="1" ht="45" customHeight="1">
      <c r="A45" s="97">
        <f t="shared" si="2"/>
        <v>31</v>
      </c>
      <c r="B45" s="199" t="s">
        <v>129</v>
      </c>
      <c r="C45" s="128">
        <f t="shared" si="0"/>
        <v>4000000</v>
      </c>
      <c r="D45" s="98" t="s">
        <v>32</v>
      </c>
      <c r="E45" s="99"/>
      <c r="F45" s="200" t="s">
        <v>61</v>
      </c>
      <c r="G45" s="143" t="s">
        <v>153</v>
      </c>
      <c r="H45" s="148" t="s">
        <v>164</v>
      </c>
      <c r="I45" s="99"/>
      <c r="J45" s="99"/>
      <c r="K45" s="101">
        <v>1.0206185567010299E-2</v>
      </c>
      <c r="L45" s="102">
        <f t="shared" si="1"/>
        <v>0.10206185567010299</v>
      </c>
      <c r="M45" s="130" t="s">
        <v>182</v>
      </c>
      <c r="N45" s="140"/>
      <c r="O45" s="50"/>
      <c r="Y45" s="205"/>
      <c r="Z45" s="205"/>
    </row>
    <row r="46" spans="1:28" s="149" customFormat="1" ht="54.95" customHeight="1">
      <c r="A46" s="97">
        <f t="shared" si="2"/>
        <v>32</v>
      </c>
      <c r="B46" s="199" t="s">
        <v>78</v>
      </c>
      <c r="C46" s="128">
        <f t="shared" si="0"/>
        <v>800000</v>
      </c>
      <c r="D46" s="98" t="s">
        <v>32</v>
      </c>
      <c r="E46" s="99"/>
      <c r="F46" s="200" t="s">
        <v>61</v>
      </c>
      <c r="G46" s="143" t="s">
        <v>154</v>
      </c>
      <c r="H46" s="148" t="s">
        <v>165</v>
      </c>
      <c r="I46" s="99"/>
      <c r="J46" s="99"/>
      <c r="K46" s="101">
        <v>1.1855670103092783E-2</v>
      </c>
      <c r="L46" s="102">
        <f t="shared" si="1"/>
        <v>2.3711340206185566E-2</v>
      </c>
      <c r="M46" s="130" t="s">
        <v>184</v>
      </c>
      <c r="N46" s="140"/>
      <c r="Y46" s="205"/>
      <c r="Z46" s="205"/>
      <c r="AA46" s="205"/>
      <c r="AB46" s="205"/>
    </row>
    <row r="47" spans="1:28" s="149" customFormat="1" ht="45" customHeight="1">
      <c r="A47" s="97">
        <f t="shared" si="2"/>
        <v>33</v>
      </c>
      <c r="B47" s="199" t="s">
        <v>82</v>
      </c>
      <c r="C47" s="128">
        <f t="shared" si="0"/>
        <v>2400000</v>
      </c>
      <c r="D47" s="98" t="s">
        <v>32</v>
      </c>
      <c r="E47" s="99"/>
      <c r="F47" s="200" t="s">
        <v>59</v>
      </c>
      <c r="G47" s="143" t="s">
        <v>155</v>
      </c>
      <c r="H47" s="148" t="s">
        <v>166</v>
      </c>
      <c r="I47" s="99"/>
      <c r="J47" s="99"/>
      <c r="K47" s="101">
        <v>4.3814432989690726E-2</v>
      </c>
      <c r="L47" s="102">
        <f t="shared" si="1"/>
        <v>0.26288659793814434</v>
      </c>
      <c r="M47" s="130" t="s">
        <v>185</v>
      </c>
      <c r="N47" s="140"/>
      <c r="Y47" s="205"/>
      <c r="Z47" s="205"/>
      <c r="AA47" s="205"/>
      <c r="AB47" s="205"/>
    </row>
    <row r="48" spans="1:28" s="149" customFormat="1" ht="45" customHeight="1">
      <c r="A48" s="97">
        <f t="shared" si="2"/>
        <v>34</v>
      </c>
      <c r="B48" s="98"/>
      <c r="C48" s="128"/>
      <c r="D48" s="98"/>
      <c r="E48" s="99"/>
      <c r="F48" s="100"/>
      <c r="G48" s="100"/>
      <c r="H48" s="100"/>
      <c r="I48" s="99"/>
      <c r="J48" s="99"/>
      <c r="K48" s="101">
        <v>0</v>
      </c>
      <c r="L48" s="102">
        <f t="shared" si="1"/>
        <v>0</v>
      </c>
      <c r="M48" s="130"/>
      <c r="N48" s="140"/>
    </row>
    <row r="49" spans="1:29" s="149" customFormat="1" ht="45" customHeight="1">
      <c r="A49" s="97">
        <f t="shared" si="2"/>
        <v>35</v>
      </c>
      <c r="B49" s="98"/>
      <c r="C49" s="128"/>
      <c r="D49" s="98"/>
      <c r="E49" s="99"/>
      <c r="F49" s="100"/>
      <c r="G49" s="100"/>
      <c r="H49" s="100"/>
      <c r="I49" s="99"/>
      <c r="J49" s="99"/>
      <c r="K49" s="101">
        <v>0</v>
      </c>
      <c r="L49" s="102">
        <f t="shared" si="1"/>
        <v>0</v>
      </c>
      <c r="M49" s="130"/>
      <c r="N49" s="140"/>
    </row>
    <row r="50" spans="1:29" s="149" customFormat="1" ht="45" customHeight="1">
      <c r="A50" s="97">
        <f t="shared" si="2"/>
        <v>36</v>
      </c>
      <c r="B50" s="98"/>
      <c r="C50" s="128"/>
      <c r="D50" s="98"/>
      <c r="E50" s="99"/>
      <c r="F50" s="100"/>
      <c r="G50" s="100"/>
      <c r="H50" s="100"/>
      <c r="I50" s="99"/>
      <c r="J50" s="99"/>
      <c r="K50" s="101">
        <v>0</v>
      </c>
      <c r="L50" s="102">
        <f t="shared" si="1"/>
        <v>0</v>
      </c>
      <c r="M50" s="130"/>
      <c r="N50" s="140"/>
    </row>
    <row r="51" spans="1:29" s="149" customFormat="1" ht="45" customHeight="1">
      <c r="A51" s="97">
        <f t="shared" si="2"/>
        <v>37</v>
      </c>
      <c r="B51" s="98"/>
      <c r="C51" s="128"/>
      <c r="D51" s="98"/>
      <c r="E51" s="99"/>
      <c r="F51" s="100"/>
      <c r="G51" s="100"/>
      <c r="H51" s="100"/>
      <c r="I51" s="99"/>
      <c r="J51" s="99"/>
      <c r="K51" s="101">
        <v>0</v>
      </c>
      <c r="L51" s="102">
        <f t="shared" si="1"/>
        <v>0</v>
      </c>
      <c r="M51" s="103"/>
      <c r="N51" s="140"/>
    </row>
    <row r="52" spans="1:29" s="149" customFormat="1" ht="54.95" customHeight="1">
      <c r="A52" s="97">
        <f t="shared" si="2"/>
        <v>38</v>
      </c>
      <c r="B52" s="98"/>
      <c r="C52" s="128"/>
      <c r="D52" s="98"/>
      <c r="E52" s="99"/>
      <c r="F52" s="100"/>
      <c r="G52" s="100"/>
      <c r="H52" s="100"/>
      <c r="I52" s="99"/>
      <c r="J52" s="99"/>
      <c r="K52" s="101">
        <v>0</v>
      </c>
      <c r="L52" s="102">
        <f t="shared" si="1"/>
        <v>0</v>
      </c>
      <c r="M52" s="130"/>
      <c r="N52" s="140"/>
      <c r="O52" s="50"/>
    </row>
    <row r="53" spans="1:29" s="149" customFormat="1" ht="54.95" customHeight="1">
      <c r="A53" s="97">
        <f t="shared" si="2"/>
        <v>39</v>
      </c>
      <c r="B53" s="98"/>
      <c r="C53" s="128"/>
      <c r="D53" s="98"/>
      <c r="E53" s="99"/>
      <c r="F53" s="100"/>
      <c r="G53" s="100"/>
      <c r="H53" s="100"/>
      <c r="I53" s="99"/>
      <c r="J53" s="99"/>
      <c r="K53" s="101">
        <v>0</v>
      </c>
      <c r="L53" s="102">
        <f t="shared" si="1"/>
        <v>0</v>
      </c>
      <c r="M53" s="130"/>
      <c r="N53" s="140"/>
      <c r="O53" s="50"/>
    </row>
    <row r="54" spans="1:29" s="149" customFormat="1" ht="54.95" customHeight="1">
      <c r="A54" s="97">
        <f t="shared" si="2"/>
        <v>40</v>
      </c>
      <c r="B54" s="98"/>
      <c r="C54" s="128"/>
      <c r="D54" s="98"/>
      <c r="E54" s="99"/>
      <c r="F54" s="100"/>
      <c r="G54" s="100"/>
      <c r="H54" s="100"/>
      <c r="I54" s="99"/>
      <c r="J54" s="99"/>
      <c r="K54" s="101">
        <v>0</v>
      </c>
      <c r="L54" s="102">
        <f t="shared" si="1"/>
        <v>0</v>
      </c>
      <c r="M54" s="130"/>
      <c r="N54" s="140"/>
      <c r="O54" s="50"/>
    </row>
    <row r="55" spans="1:29" ht="45" customHeight="1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49"/>
      <c r="N55" s="149"/>
      <c r="O55" s="50"/>
      <c r="P55" s="149"/>
      <c r="Q55" s="149"/>
      <c r="R55" s="175"/>
      <c r="S55" s="168"/>
      <c r="T55" s="168"/>
      <c r="U55" s="168"/>
      <c r="V55" s="168"/>
      <c r="Y55" s="38"/>
      <c r="Z55" s="38"/>
    </row>
    <row r="56" spans="1:29" ht="60.6" customHeight="1">
      <c r="A56" s="106"/>
      <c r="B56" s="203"/>
      <c r="C56" s="106"/>
      <c r="D56" s="106"/>
      <c r="E56" s="106"/>
      <c r="F56" s="106"/>
      <c r="G56" s="106"/>
      <c r="H56" s="106"/>
      <c r="I56" s="106"/>
      <c r="J56" s="106"/>
      <c r="K56" s="109" t="s">
        <v>21</v>
      </c>
      <c r="L56" s="108">
        <f>SUM(L15:L54)</f>
        <v>7.8324969072164929</v>
      </c>
      <c r="M56" s="149"/>
      <c r="N56" s="174"/>
      <c r="O56" s="174"/>
      <c r="P56" s="168"/>
      <c r="Q56" s="149"/>
      <c r="R56" s="175"/>
      <c r="S56" s="168"/>
      <c r="T56" s="168"/>
      <c r="U56" s="149"/>
      <c r="V56" s="168"/>
      <c r="AC56" s="38"/>
    </row>
    <row r="57" spans="1:29" ht="77.25" customHeight="1">
      <c r="A57" s="222"/>
      <c r="B57" s="222"/>
      <c r="C57" s="222"/>
      <c r="D57" s="222"/>
      <c r="E57" s="222"/>
      <c r="F57" s="222"/>
      <c r="G57" s="222"/>
      <c r="H57" s="222"/>
      <c r="I57" s="222"/>
      <c r="J57" s="223"/>
      <c r="K57" s="110" t="s">
        <v>41</v>
      </c>
      <c r="L57" s="93">
        <v>9.7999999999999997E-3</v>
      </c>
      <c r="M57" s="149"/>
      <c r="N57" s="177"/>
      <c r="O57" s="177"/>
      <c r="P57" s="168"/>
      <c r="Q57" s="44"/>
      <c r="R57" s="175"/>
      <c r="S57" s="168"/>
      <c r="T57" s="168"/>
      <c r="U57" s="149"/>
      <c r="V57" s="175"/>
      <c r="X57" s="170"/>
      <c r="Y57" s="7"/>
      <c r="AC57" s="49"/>
    </row>
    <row r="58" spans="1:29" ht="39.950000000000003" customHeight="1">
      <c r="A58" s="224" t="s">
        <v>22</v>
      </c>
      <c r="B58" s="224"/>
      <c r="C58" s="224"/>
      <c r="D58" s="224"/>
      <c r="E58" s="224"/>
      <c r="F58" s="135"/>
      <c r="G58" s="135"/>
      <c r="H58" s="135"/>
      <c r="I58" s="135"/>
      <c r="J58" s="114"/>
      <c r="K58" s="111" t="s">
        <v>42</v>
      </c>
      <c r="L58" s="101">
        <v>0.98240000000000005</v>
      </c>
      <c r="M58" s="177"/>
      <c r="N58" s="177"/>
      <c r="O58" s="177"/>
      <c r="P58" s="168"/>
      <c r="U58" s="176"/>
      <c r="V58" s="7"/>
      <c r="X58" s="34"/>
      <c r="Y58" s="7"/>
      <c r="AC58" s="34"/>
    </row>
    <row r="59" spans="1:29" ht="59.25" customHeight="1">
      <c r="A59" s="225"/>
      <c r="B59" s="225"/>
      <c r="C59" s="225"/>
      <c r="D59" s="225"/>
      <c r="E59" s="225"/>
      <c r="F59" s="225"/>
      <c r="G59" s="225"/>
      <c r="H59" s="225"/>
      <c r="I59" s="135"/>
      <c r="J59" s="114"/>
      <c r="K59" s="112" t="s">
        <v>43</v>
      </c>
      <c r="L59" s="101">
        <v>0.19839999999999999</v>
      </c>
      <c r="M59" s="177"/>
      <c r="N59" s="177"/>
      <c r="O59" s="177"/>
      <c r="P59" s="168"/>
      <c r="Q59" s="149"/>
      <c r="U59" s="31"/>
      <c r="V59" s="175"/>
    </row>
    <row r="60" spans="1:29" ht="39.950000000000003" customHeight="1">
      <c r="A60" s="225"/>
      <c r="B60" s="225"/>
      <c r="C60" s="225"/>
      <c r="D60" s="225"/>
      <c r="E60" s="225"/>
      <c r="F60" s="225"/>
      <c r="G60" s="225"/>
      <c r="H60" s="225"/>
      <c r="I60" s="135"/>
      <c r="J60" s="114"/>
      <c r="K60" s="111"/>
      <c r="L60" s="101"/>
      <c r="M60" s="177"/>
      <c r="N60" s="177"/>
      <c r="O60" s="205"/>
      <c r="P60" s="205"/>
      <c r="Q60" s="205"/>
      <c r="U60" s="31"/>
      <c r="V60" s="175"/>
    </row>
    <row r="61" spans="1:29" ht="39.950000000000003" customHeight="1">
      <c r="A61" s="225"/>
      <c r="B61" s="225"/>
      <c r="C61" s="225"/>
      <c r="D61" s="225"/>
      <c r="E61" s="225"/>
      <c r="F61" s="225"/>
      <c r="G61" s="225"/>
      <c r="H61" s="225"/>
      <c r="I61" s="135"/>
      <c r="J61" s="114"/>
      <c r="K61" s="111" t="s">
        <v>44</v>
      </c>
      <c r="L61" s="101">
        <v>0.34160000000000001</v>
      </c>
      <c r="M61" s="177"/>
      <c r="N61" s="177"/>
      <c r="O61" s="205"/>
      <c r="P61" s="205"/>
      <c r="Q61" s="205"/>
      <c r="U61" s="149"/>
      <c r="V61" s="175"/>
    </row>
    <row r="62" spans="1:29" ht="39.950000000000003" customHeight="1">
      <c r="A62" s="135"/>
      <c r="B62" s="135"/>
      <c r="C62" s="135"/>
      <c r="D62" s="135"/>
      <c r="E62" s="135"/>
      <c r="F62" s="135"/>
      <c r="G62" s="135"/>
      <c r="H62" s="135"/>
      <c r="I62" s="135"/>
      <c r="J62" s="114"/>
      <c r="K62" s="111" t="s">
        <v>45</v>
      </c>
      <c r="L62" s="101">
        <v>0.2419</v>
      </c>
      <c r="M62" s="177"/>
      <c r="N62" s="177"/>
      <c r="O62" s="177"/>
      <c r="P62" s="168"/>
      <c r="U62" s="149"/>
      <c r="V62" s="149"/>
    </row>
    <row r="63" spans="1:29" ht="55.9" customHeight="1">
      <c r="A63" s="135"/>
      <c r="B63" s="135"/>
      <c r="C63" s="135"/>
      <c r="D63" s="135"/>
      <c r="E63" s="135"/>
      <c r="F63" s="135"/>
      <c r="G63" s="135"/>
      <c r="H63" s="135"/>
      <c r="I63" s="135"/>
      <c r="J63" s="114"/>
      <c r="K63" s="112" t="s">
        <v>46</v>
      </c>
      <c r="L63" s="101">
        <v>7.0000000000000007E-2</v>
      </c>
      <c r="M63" s="177"/>
      <c r="N63" s="177"/>
      <c r="O63" s="177"/>
      <c r="P63" s="168"/>
      <c r="U63" s="31"/>
      <c r="V63" s="175"/>
    </row>
    <row r="64" spans="1:29" ht="39.950000000000003" customHeight="1">
      <c r="A64" s="135"/>
      <c r="B64" s="135"/>
      <c r="C64" s="135"/>
      <c r="D64" s="135"/>
      <c r="E64" s="135"/>
      <c r="F64" s="135"/>
      <c r="G64" s="135"/>
      <c r="H64" s="135"/>
      <c r="I64" s="135"/>
      <c r="J64" s="114"/>
      <c r="K64" s="112"/>
      <c r="L64" s="101"/>
      <c r="M64" s="177"/>
      <c r="N64" s="177"/>
      <c r="O64" s="177"/>
      <c r="P64" s="168"/>
    </row>
    <row r="65" spans="1:19" ht="45.2" customHeight="1">
      <c r="A65" s="135"/>
      <c r="B65" s="135"/>
      <c r="C65" s="135"/>
      <c r="D65" s="135"/>
      <c r="E65" s="135"/>
      <c r="F65" s="135"/>
      <c r="G65" s="135"/>
      <c r="H65" s="135"/>
      <c r="I65" s="135"/>
      <c r="J65" s="114"/>
      <c r="K65" s="113" t="s">
        <v>47</v>
      </c>
      <c r="L65" s="129">
        <f>SUM(L56:L63)</f>
        <v>9.6765969072164921</v>
      </c>
      <c r="M65" s="177"/>
      <c r="N65" s="177"/>
      <c r="O65" s="177"/>
      <c r="P65" s="168"/>
    </row>
    <row r="66" spans="1:19" ht="39.950000000000003" customHeight="1">
      <c r="A66" s="135"/>
      <c r="B66" s="135"/>
      <c r="C66" s="135"/>
      <c r="D66" s="135"/>
      <c r="E66" s="135"/>
      <c r="F66" s="135"/>
      <c r="G66" s="135"/>
      <c r="H66" s="135"/>
      <c r="I66" s="135"/>
      <c r="J66" s="115"/>
      <c r="K66" s="113" t="s">
        <v>48</v>
      </c>
      <c r="L66" s="108">
        <v>0.09</v>
      </c>
      <c r="M66" s="177"/>
      <c r="N66" s="177"/>
      <c r="O66" s="177"/>
      <c r="P66" s="168"/>
    </row>
    <row r="67" spans="1:19" ht="45.2" customHeight="1">
      <c r="A67" s="135"/>
      <c r="B67" s="135"/>
      <c r="C67" s="135"/>
      <c r="D67" s="135"/>
      <c r="E67" s="135"/>
      <c r="F67" s="135"/>
      <c r="G67" s="135"/>
      <c r="H67" s="135"/>
      <c r="I67" s="135"/>
      <c r="J67" s="116"/>
      <c r="K67" s="113" t="s">
        <v>49</v>
      </c>
      <c r="L67" s="129">
        <f>L65+L66</f>
        <v>9.766596907216492</v>
      </c>
      <c r="M67" s="177"/>
      <c r="N67" s="177"/>
      <c r="O67" s="177"/>
      <c r="P67" s="168"/>
      <c r="S67" s="7"/>
    </row>
    <row r="68" spans="1:19" ht="39.950000000000003" customHeight="1">
      <c r="A68" s="135"/>
      <c r="B68" s="135"/>
      <c r="C68" s="135"/>
      <c r="D68" s="135"/>
      <c r="E68" s="135"/>
      <c r="F68" s="135"/>
      <c r="G68" s="135"/>
      <c r="H68" s="135"/>
      <c r="I68" s="135"/>
      <c r="J68" s="117"/>
      <c r="K68" s="153"/>
      <c r="L68" s="149"/>
      <c r="M68" s="153"/>
      <c r="N68" s="153"/>
      <c r="O68" s="153"/>
      <c r="P68" s="153"/>
    </row>
    <row r="69" spans="1:19" ht="39.950000000000003" customHeight="1">
      <c r="A69" s="135"/>
      <c r="B69" s="135"/>
      <c r="C69" s="135"/>
      <c r="D69" s="135"/>
      <c r="E69" s="135"/>
      <c r="F69" s="135"/>
      <c r="G69" s="135"/>
      <c r="H69" s="135"/>
      <c r="I69" s="135"/>
      <c r="J69" s="117"/>
      <c r="K69" s="153"/>
      <c r="L69" s="149"/>
      <c r="M69" s="153"/>
      <c r="N69" s="153"/>
      <c r="O69" s="153"/>
      <c r="P69" s="153"/>
    </row>
    <row r="70" spans="1:19" ht="39.950000000000003" customHeight="1">
      <c r="A70" s="153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49"/>
      <c r="M70" s="153"/>
      <c r="N70" s="153"/>
      <c r="O70" s="153"/>
      <c r="P70" s="153"/>
    </row>
    <row r="71" spans="1:19" ht="39.950000000000003" customHeight="1">
      <c r="A71" s="153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49"/>
      <c r="M71" s="153"/>
      <c r="N71" s="153"/>
      <c r="O71" s="153"/>
      <c r="P71" s="153"/>
    </row>
    <row r="72" spans="1:19" ht="39.950000000000003" customHeight="1">
      <c r="A72" s="180" t="s">
        <v>23</v>
      </c>
      <c r="B72" s="181"/>
      <c r="C72" s="181"/>
      <c r="D72" s="181"/>
      <c r="E72" s="181"/>
      <c r="F72" s="181"/>
      <c r="G72" s="181"/>
      <c r="H72" s="181"/>
      <c r="I72" s="181"/>
      <c r="J72" s="182"/>
      <c r="K72" s="153"/>
      <c r="L72" s="149"/>
      <c r="M72" s="149"/>
      <c r="N72" s="153"/>
      <c r="O72" s="153"/>
      <c r="P72" s="153"/>
    </row>
    <row r="73" spans="1:19" ht="26.25">
      <c r="A73" s="183"/>
      <c r="B73" s="184"/>
      <c r="C73" s="184"/>
      <c r="D73" s="184"/>
      <c r="E73" s="184"/>
      <c r="F73" s="184"/>
      <c r="G73" s="184"/>
      <c r="H73" s="184"/>
      <c r="I73" s="184"/>
      <c r="J73" s="57"/>
      <c r="K73" s="153"/>
      <c r="L73" s="149"/>
      <c r="M73" s="153"/>
      <c r="N73" s="153"/>
      <c r="O73" s="153"/>
      <c r="P73" s="153"/>
    </row>
    <row r="74" spans="1:19" ht="26.25">
      <c r="A74" s="185"/>
      <c r="B74" s="186"/>
      <c r="C74" s="186"/>
      <c r="D74" s="186"/>
      <c r="E74" s="186"/>
      <c r="F74" s="186"/>
      <c r="G74" s="186"/>
      <c r="H74" s="186"/>
      <c r="I74" s="186"/>
      <c r="J74" s="60"/>
      <c r="K74" s="153"/>
      <c r="L74" s="153"/>
      <c r="M74" s="153"/>
      <c r="N74" s="153"/>
      <c r="O74" s="153"/>
      <c r="P74" s="153"/>
    </row>
    <row r="75" spans="1:19">
      <c r="A75" s="187"/>
      <c r="B75" s="188"/>
      <c r="C75" s="188"/>
      <c r="D75" s="188"/>
      <c r="E75" s="188"/>
      <c r="F75" s="188"/>
      <c r="G75" s="188"/>
      <c r="H75" s="188"/>
      <c r="I75" s="188"/>
      <c r="J75" s="63"/>
      <c r="K75" s="153"/>
      <c r="L75" s="153"/>
      <c r="M75" s="153"/>
      <c r="N75" s="153"/>
      <c r="O75" s="153"/>
      <c r="P75" s="153"/>
    </row>
    <row r="76" spans="1:19" ht="26.25">
      <c r="A76" s="149" t="s">
        <v>24</v>
      </c>
      <c r="B76" s="149"/>
      <c r="C76" s="149"/>
      <c r="D76" s="149"/>
      <c r="E76" s="149"/>
      <c r="F76" s="149"/>
      <c r="G76" s="149"/>
      <c r="H76" s="149"/>
      <c r="I76" s="149"/>
      <c r="J76" s="182"/>
    </row>
    <row r="77" spans="1:19">
      <c r="A77" s="205"/>
      <c r="B77" s="205"/>
      <c r="C77" s="205"/>
      <c r="D77" s="205"/>
      <c r="E77" s="205"/>
      <c r="F77" s="205"/>
      <c r="G77" s="205"/>
      <c r="H77" s="205"/>
      <c r="I77" s="149"/>
      <c r="J77" s="149"/>
    </row>
    <row r="78" spans="1:19" ht="18">
      <c r="A78" s="189"/>
      <c r="B78" s="189"/>
      <c r="C78" s="189"/>
      <c r="D78" s="189"/>
      <c r="E78" s="189"/>
      <c r="F78" s="189"/>
      <c r="G78" s="189"/>
      <c r="H78" s="189"/>
      <c r="I78" s="189"/>
      <c r="J78" s="189"/>
    </row>
    <row r="79" spans="1:19">
      <c r="A79" s="188"/>
      <c r="B79" s="188"/>
      <c r="C79" s="188"/>
      <c r="D79" s="188"/>
      <c r="E79" s="188"/>
      <c r="F79" s="188"/>
      <c r="G79" s="188"/>
      <c r="H79" s="188"/>
      <c r="I79" s="188"/>
      <c r="J79" s="188"/>
    </row>
    <row r="80" spans="1:19" ht="26.25">
      <c r="A80" s="180" t="s">
        <v>55</v>
      </c>
      <c r="B80" s="181"/>
      <c r="C80" s="181"/>
      <c r="D80" s="181"/>
      <c r="E80" s="181"/>
      <c r="F80" s="181"/>
      <c r="G80" s="181"/>
      <c r="H80" s="181"/>
      <c r="I80" s="181"/>
      <c r="J80" s="182"/>
    </row>
    <row r="81" spans="1:12" ht="26.25">
      <c r="A81" s="190" t="s">
        <v>40</v>
      </c>
      <c r="B81" s="191"/>
      <c r="C81" s="191"/>
      <c r="D81" s="191"/>
      <c r="E81" s="191"/>
      <c r="F81" s="191"/>
      <c r="G81" s="191"/>
      <c r="H81" s="191"/>
      <c r="I81" s="191"/>
      <c r="J81" s="67"/>
    </row>
    <row r="82" spans="1:12" ht="26.25">
      <c r="A82" s="192" t="s">
        <v>40</v>
      </c>
      <c r="B82" s="193"/>
      <c r="C82" s="193"/>
      <c r="D82" s="193"/>
      <c r="E82" s="193"/>
      <c r="F82" s="193"/>
      <c r="G82" s="193"/>
      <c r="H82" s="193"/>
      <c r="I82" s="193"/>
      <c r="J82" s="70"/>
    </row>
    <row r="83" spans="1:12" ht="26.25">
      <c r="A83" s="194"/>
      <c r="B83" s="193"/>
      <c r="C83" s="193"/>
      <c r="D83" s="193"/>
      <c r="E83" s="193"/>
      <c r="F83" s="193"/>
      <c r="G83" s="193"/>
      <c r="H83" s="193"/>
      <c r="I83" s="193"/>
      <c r="J83" s="70"/>
    </row>
    <row r="84" spans="1:12" ht="26.25">
      <c r="A84" s="195"/>
      <c r="B84" s="196"/>
      <c r="C84" s="196"/>
      <c r="D84" s="196"/>
      <c r="E84" s="196"/>
      <c r="F84" s="196"/>
      <c r="G84" s="196"/>
      <c r="H84" s="196"/>
      <c r="I84" s="196"/>
      <c r="J84" s="149"/>
    </row>
    <row r="86" spans="1:12" ht="26.25">
      <c r="A86" s="118" t="s">
        <v>25</v>
      </c>
      <c r="B86" s="197"/>
      <c r="C86" s="197"/>
      <c r="D86" s="197"/>
      <c r="E86" s="197"/>
      <c r="F86" s="120"/>
      <c r="H86" s="124" t="s">
        <v>26</v>
      </c>
      <c r="I86" s="149"/>
      <c r="J86" s="149"/>
    </row>
    <row r="87" spans="1:12" ht="39.950000000000003" customHeight="1">
      <c r="A87" s="104" t="s">
        <v>12</v>
      </c>
      <c r="B87" s="104" t="s">
        <v>27</v>
      </c>
      <c r="C87" s="104" t="s">
        <v>51</v>
      </c>
      <c r="D87" s="104" t="s">
        <v>52</v>
      </c>
      <c r="E87" s="104" t="s">
        <v>53</v>
      </c>
      <c r="F87" s="136" t="s">
        <v>17</v>
      </c>
      <c r="G87" s="122"/>
      <c r="H87" s="133" t="s">
        <v>28</v>
      </c>
      <c r="I87" s="149"/>
      <c r="J87" s="149"/>
    </row>
    <row r="88" spans="1:12" ht="39.950000000000003" customHeight="1">
      <c r="A88" s="104">
        <v>1</v>
      </c>
      <c r="B88" s="107">
        <v>20</v>
      </c>
      <c r="C88" s="125">
        <v>100</v>
      </c>
      <c r="D88" s="107" t="s">
        <v>32</v>
      </c>
      <c r="E88" s="125">
        <f>B88*C88</f>
        <v>2000</v>
      </c>
      <c r="F88" s="226" t="s">
        <v>50</v>
      </c>
      <c r="G88" s="226"/>
      <c r="H88" s="157" t="s">
        <v>37</v>
      </c>
      <c r="I88" s="149"/>
      <c r="J88" s="149"/>
    </row>
    <row r="89" spans="1:12" ht="39.950000000000003" customHeight="1">
      <c r="A89" s="104">
        <v>2</v>
      </c>
      <c r="B89" s="107">
        <v>2</v>
      </c>
      <c r="C89" s="125">
        <v>450</v>
      </c>
      <c r="D89" s="107" t="s">
        <v>32</v>
      </c>
      <c r="E89" s="125">
        <f>B89*C89</f>
        <v>900</v>
      </c>
      <c r="F89" s="226" t="s">
        <v>118</v>
      </c>
      <c r="G89" s="226"/>
      <c r="H89" s="157" t="s">
        <v>29</v>
      </c>
      <c r="I89" s="149"/>
      <c r="J89" s="149"/>
    </row>
    <row r="90" spans="1:12" ht="39.950000000000003" customHeight="1">
      <c r="A90" s="104">
        <v>3</v>
      </c>
      <c r="B90" s="107">
        <v>1</v>
      </c>
      <c r="C90" s="125">
        <v>900</v>
      </c>
      <c r="D90" s="107" t="s">
        <v>32</v>
      </c>
      <c r="E90" s="125">
        <f>B90*C90</f>
        <v>900</v>
      </c>
      <c r="F90" s="226" t="s">
        <v>200</v>
      </c>
      <c r="G90" s="226"/>
      <c r="H90" s="133" t="s">
        <v>30</v>
      </c>
      <c r="I90" s="149"/>
      <c r="J90" s="149"/>
    </row>
    <row r="91" spans="1:12" ht="39.950000000000003" customHeight="1">
      <c r="A91" s="104">
        <v>4</v>
      </c>
      <c r="B91" s="107"/>
      <c r="C91" s="125"/>
      <c r="D91" s="107"/>
      <c r="E91" s="125"/>
      <c r="F91" s="226"/>
      <c r="G91" s="226"/>
      <c r="H91" s="168"/>
      <c r="I91" s="168"/>
      <c r="J91" s="168"/>
    </row>
    <row r="92" spans="1:12" ht="39.950000000000003" customHeight="1">
      <c r="A92" s="104">
        <v>5</v>
      </c>
      <c r="B92" s="107"/>
      <c r="C92" s="125"/>
      <c r="D92" s="107"/>
      <c r="E92" s="125"/>
      <c r="F92" s="226"/>
      <c r="G92" s="226"/>
      <c r="H92" s="123" t="s">
        <v>31</v>
      </c>
      <c r="I92" s="149"/>
      <c r="J92" s="149"/>
    </row>
    <row r="93" spans="1:12" ht="39.950000000000003" customHeight="1">
      <c r="A93" s="104">
        <v>6</v>
      </c>
      <c r="B93" s="107">
        <v>0</v>
      </c>
      <c r="C93" s="107"/>
      <c r="D93" s="107" t="s">
        <v>32</v>
      </c>
      <c r="E93" s="125"/>
      <c r="F93" s="226"/>
      <c r="G93" s="226"/>
      <c r="H93" s="227" t="s">
        <v>120</v>
      </c>
      <c r="I93" s="228"/>
      <c r="J93" s="228"/>
      <c r="K93" s="228"/>
      <c r="L93" s="228"/>
    </row>
    <row r="94" spans="1:12" ht="39.950000000000003" customHeight="1">
      <c r="A94" s="104"/>
      <c r="B94" s="104"/>
      <c r="C94" s="104"/>
      <c r="D94" s="104"/>
      <c r="E94" s="126">
        <f>SUM(E88:E93)</f>
        <v>3800</v>
      </c>
      <c r="F94" s="136"/>
      <c r="G94" s="122"/>
      <c r="H94" s="228"/>
      <c r="I94" s="228"/>
      <c r="J94" s="228"/>
      <c r="K94" s="228"/>
      <c r="L94" s="228"/>
    </row>
    <row r="95" spans="1:12">
      <c r="A95" s="149"/>
      <c r="B95" s="149"/>
      <c r="C95" s="149"/>
      <c r="D95" s="149"/>
      <c r="E95" s="149"/>
      <c r="F95" s="149"/>
      <c r="H95" s="228"/>
      <c r="I95" s="228"/>
      <c r="J95" s="228"/>
      <c r="K95" s="228"/>
      <c r="L95" s="228"/>
    </row>
    <row r="96" spans="1:12">
      <c r="A96" s="149"/>
      <c r="B96" s="149"/>
      <c r="C96" s="149"/>
      <c r="D96" s="149"/>
      <c r="E96" s="149"/>
      <c r="F96" s="149"/>
      <c r="H96" s="228"/>
      <c r="I96" s="228"/>
      <c r="J96" s="228"/>
      <c r="K96" s="228"/>
      <c r="L96" s="228"/>
    </row>
    <row r="97" spans="1:12" ht="30" customHeight="1">
      <c r="A97" s="149"/>
      <c r="B97" s="149"/>
      <c r="C97" s="149"/>
      <c r="D97" s="149"/>
      <c r="E97" s="149"/>
      <c r="F97" s="149"/>
      <c r="H97" s="228"/>
      <c r="I97" s="228"/>
      <c r="J97" s="228"/>
      <c r="K97" s="228"/>
      <c r="L97" s="228"/>
    </row>
    <row r="98" spans="1:12" ht="30" customHeight="1">
      <c r="A98" s="149"/>
      <c r="B98" s="149"/>
      <c r="C98" s="149"/>
      <c r="D98" s="149"/>
      <c r="E98" s="149"/>
      <c r="F98" s="149"/>
      <c r="H98" s="228"/>
      <c r="I98" s="228"/>
      <c r="J98" s="228"/>
      <c r="K98" s="228"/>
      <c r="L98" s="228"/>
    </row>
    <row r="99" spans="1:12" ht="30" customHeight="1">
      <c r="A99" s="149"/>
      <c r="B99" s="149"/>
      <c r="C99" s="149"/>
      <c r="D99" s="149"/>
      <c r="E99" s="149"/>
      <c r="F99" s="149"/>
      <c r="H99" s="228"/>
      <c r="I99" s="228"/>
      <c r="J99" s="228"/>
      <c r="K99" s="228"/>
      <c r="L99" s="228"/>
    </row>
    <row r="100" spans="1:12" ht="30" customHeight="1">
      <c r="A100" s="149"/>
      <c r="B100" s="149"/>
      <c r="C100" s="149"/>
      <c r="D100" s="149"/>
      <c r="E100" s="149"/>
      <c r="F100" s="149"/>
      <c r="H100" s="228"/>
      <c r="I100" s="228"/>
      <c r="J100" s="228"/>
      <c r="K100" s="228"/>
      <c r="L100" s="228"/>
    </row>
    <row r="101" spans="1:12" ht="30" customHeight="1">
      <c r="A101" s="168"/>
      <c r="B101" s="178"/>
      <c r="C101" s="178"/>
      <c r="D101" s="149"/>
      <c r="E101" s="149"/>
      <c r="F101" s="168"/>
      <c r="H101" s="228"/>
      <c r="I101" s="228"/>
      <c r="J101" s="228"/>
      <c r="K101" s="228"/>
      <c r="L101" s="228"/>
    </row>
    <row r="102" spans="1:12" ht="30" customHeight="1">
      <c r="A102" s="168"/>
      <c r="B102" s="178"/>
      <c r="C102" s="178"/>
      <c r="D102" s="149"/>
      <c r="E102" s="149"/>
      <c r="F102" s="168"/>
      <c r="H102" s="228"/>
      <c r="I102" s="228"/>
      <c r="J102" s="228"/>
      <c r="K102" s="228"/>
      <c r="L102" s="228"/>
    </row>
    <row r="103" spans="1:12" ht="30" customHeight="1">
      <c r="H103" s="228"/>
      <c r="I103" s="228"/>
      <c r="J103" s="228"/>
      <c r="K103" s="228"/>
      <c r="L103" s="228"/>
    </row>
    <row r="104" spans="1:12" ht="30" customHeight="1">
      <c r="H104" s="228"/>
      <c r="I104" s="228"/>
      <c r="J104" s="228"/>
      <c r="K104" s="228"/>
      <c r="L104" s="228"/>
    </row>
    <row r="105" spans="1:12" ht="30" customHeight="1">
      <c r="H105" s="228"/>
      <c r="I105" s="228"/>
      <c r="J105" s="228"/>
      <c r="K105" s="228"/>
      <c r="L105" s="228"/>
    </row>
    <row r="106" spans="1:12" ht="30" customHeight="1">
      <c r="H106" s="228"/>
      <c r="I106" s="228"/>
      <c r="J106" s="228"/>
      <c r="K106" s="228"/>
      <c r="L106" s="228"/>
    </row>
  </sheetData>
  <mergeCells count="35">
    <mergeCell ref="F93:G93"/>
    <mergeCell ref="H93:L106"/>
    <mergeCell ref="A77:H77"/>
    <mergeCell ref="F88:G88"/>
    <mergeCell ref="F89:G89"/>
    <mergeCell ref="F90:G90"/>
    <mergeCell ref="F91:G91"/>
    <mergeCell ref="F92:G92"/>
    <mergeCell ref="A57:J57"/>
    <mergeCell ref="A58:E58"/>
    <mergeCell ref="A59:H59"/>
    <mergeCell ref="A60:H60"/>
    <mergeCell ref="O60:Q61"/>
    <mergeCell ref="A61:H61"/>
    <mergeCell ref="Y45:Z45"/>
    <mergeCell ref="Y46:AB47"/>
    <mergeCell ref="Y14:AB14"/>
    <mergeCell ref="Y15:AB21"/>
    <mergeCell ref="Y22:Z22"/>
    <mergeCell ref="Y23:AB24"/>
    <mergeCell ref="Y29:Z29"/>
    <mergeCell ref="Y30:AB31"/>
    <mergeCell ref="K13:L13"/>
    <mergeCell ref="A3:B3"/>
    <mergeCell ref="C3:H3"/>
    <mergeCell ref="A4:B4"/>
    <mergeCell ref="C4:H4"/>
    <mergeCell ref="A5:B5"/>
    <mergeCell ref="A6:B6"/>
    <mergeCell ref="C6:G6"/>
    <mergeCell ref="J6:M8"/>
    <mergeCell ref="A7:B7"/>
    <mergeCell ref="A9:B9"/>
    <mergeCell ref="A12:G12"/>
    <mergeCell ref="H12:M12"/>
  </mergeCells>
  <printOptions horizontalCentered="1"/>
  <pageMargins left="0.2" right="0.2" top="0.28000000000000003" bottom="0.28000000000000003" header="0.2" footer="0.2"/>
  <pageSetup scale="3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GM ETRS Gen 2 F PCBA 400K</vt:lpstr>
      <vt:lpstr>GM ETRS Gen 2 KNOB PCBA 400K</vt:lpstr>
      <vt:lpstr>GM ETRS Gen 2 MAIN PCBA 400K</vt:lpstr>
      <vt:lpstr>Sheet1</vt:lpstr>
      <vt:lpstr>'GM ETRS Gen 2 F PCBA 400K'!Print_Area</vt:lpstr>
      <vt:lpstr>'GM ETRS Gen 2 KNOB PCBA 400K'!Print_Area</vt:lpstr>
      <vt:lpstr>'GM ETRS Gen 2 MAIN PCBA 400K'!Print_Area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lfrost</dc:creator>
  <cp:lastModifiedBy>Anthony Khalil</cp:lastModifiedBy>
  <cp:lastPrinted>2016-08-03T14:21:30Z</cp:lastPrinted>
  <dcterms:created xsi:type="dcterms:W3CDTF">2012-04-03T18:46:48Z</dcterms:created>
  <dcterms:modified xsi:type="dcterms:W3CDTF">2016-08-04T22:08:18Z</dcterms:modified>
</cp:coreProperties>
</file>