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S:\AAG POs Invoices and Quotes\AAG Quotes Sent\2026\HIrosawa\Light Engine\"/>
    </mc:Choice>
  </mc:AlternateContent>
  <xr:revisionPtr revIDLastSave="0" documentId="8_{3E030D49-7C02-4F2E-8449-1814E75F6C60}" xr6:coauthVersionLast="47" xr6:coauthVersionMax="47" xr10:uidLastSave="{00000000-0000-0000-0000-000000000000}"/>
  <bookViews>
    <workbookView xWindow="-57710" yWindow="1600" windowWidth="29020" windowHeight="15700" xr2:uid="{1FFA7EC9-6352-41E1-A0F4-3EE577F33237}"/>
  </bookViews>
  <sheets>
    <sheet name="us quote" sheetId="1" r:id="rId1"/>
  </sheets>
  <definedNames>
    <definedName name="_xlnm._FilterDatabase" localSheetId="0" hidden="1">'us quote'!$A$11:$N$40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1" i="1" l="1"/>
  <c r="L26" i="1"/>
  <c r="C26" i="1"/>
  <c r="L25" i="1"/>
  <c r="Q25" i="1" s="1"/>
  <c r="C25" i="1"/>
  <c r="Q24" i="1"/>
  <c r="L24" i="1"/>
  <c r="C24" i="1"/>
  <c r="L23" i="1"/>
  <c r="Q23" i="1" s="1"/>
  <c r="C23" i="1"/>
  <c r="L22" i="1"/>
  <c r="Q22" i="1" s="1"/>
  <c r="C22" i="1"/>
  <c r="L21" i="1"/>
  <c r="Q21" i="1" s="1"/>
  <c r="C21" i="1"/>
  <c r="Q20" i="1"/>
  <c r="L20" i="1"/>
  <c r="C20" i="1"/>
  <c r="L19" i="1"/>
  <c r="Q19" i="1" s="1"/>
  <c r="C19" i="1"/>
  <c r="L18" i="1"/>
  <c r="Q18" i="1" s="1"/>
  <c r="C18" i="1"/>
  <c r="L17" i="1"/>
  <c r="Q17" i="1" s="1"/>
  <c r="C17" i="1"/>
  <c r="Q16" i="1"/>
  <c r="L16" i="1"/>
  <c r="C16" i="1"/>
  <c r="L15" i="1"/>
  <c r="Q15" i="1" s="1"/>
  <c r="C15" i="1"/>
  <c r="L14" i="1"/>
  <c r="Q14" i="1" s="1"/>
  <c r="C14" i="1"/>
  <c r="L13" i="1"/>
  <c r="L29" i="1" s="1"/>
  <c r="L40" i="1" s="1"/>
  <c r="C13" i="1"/>
  <c r="Q12" i="1"/>
  <c r="L12" i="1"/>
  <c r="C12" i="1"/>
  <c r="Q13" i="1" l="1"/>
  <c r="Q29" i="1" s="1"/>
  <c r="L41" i="1" s="1"/>
  <c r="L42" i="1" s="1"/>
</calcChain>
</file>

<file path=xl/sharedStrings.xml><?xml version="1.0" encoding="utf-8"?>
<sst xmlns="http://schemas.openxmlformats.org/spreadsheetml/2006/main" count="149" uniqueCount="117">
  <si>
    <t>REQUEST FOR QUOTE</t>
  </si>
  <si>
    <t>Due Date:</t>
  </si>
  <si>
    <t>Customer:</t>
  </si>
  <si>
    <t>Hirosawa</t>
    <phoneticPr fontId="8" type="noConversion"/>
  </si>
  <si>
    <t>Program Name:</t>
  </si>
  <si>
    <t xml:space="preserve">Program Life: </t>
  </si>
  <si>
    <t>Estimated SOP Date:</t>
  </si>
  <si>
    <t>EAU:</t>
  </si>
  <si>
    <t>Component Ship To Plant:</t>
  </si>
  <si>
    <t>All prices in this quote are in U.S. dollars</t>
  </si>
  <si>
    <t>Supplier:</t>
  </si>
  <si>
    <t>Advanced Automation Group, 
A Certified Minority Supplier</t>
  </si>
  <si>
    <t>Usage:</t>
  </si>
  <si>
    <t>1 per Vehicle</t>
  </si>
  <si>
    <t>Supplier Price</t>
  </si>
  <si>
    <t>Item #</t>
  </si>
  <si>
    <t>Qty per Assy</t>
  </si>
  <si>
    <t>Total EAU</t>
  </si>
  <si>
    <t>Unit</t>
  </si>
  <si>
    <t>Loss
Class</t>
  </si>
  <si>
    <t>Manufacturer or
Suggested Supplier</t>
  </si>
  <si>
    <t>Part Number</t>
  </si>
  <si>
    <t>Description</t>
  </si>
  <si>
    <t>Designator</t>
  </si>
  <si>
    <t>COO</t>
  </si>
  <si>
    <t>Unit price</t>
  </si>
  <si>
    <t>Sub-Total</t>
  </si>
  <si>
    <t>Comments</t>
  </si>
  <si>
    <t>Leadtime</t>
  </si>
  <si>
    <t>ADDITIONAL 
Tariff Rate  
 as of quote date</t>
  </si>
  <si>
    <t>ADDITIONAL TARIFF 
cost</t>
  </si>
  <si>
    <t>Indichip</t>
    <phoneticPr fontId="0" type="noConversion"/>
  </si>
  <si>
    <t>IND83216 QFN12</t>
    <phoneticPr fontId="0" type="noConversion"/>
  </si>
  <si>
    <t>U1</t>
    <phoneticPr fontId="0" type="noConversion"/>
  </si>
  <si>
    <t>CN</t>
  </si>
  <si>
    <t>Estimated price</t>
  </si>
  <si>
    <t>diodes</t>
    <phoneticPr fontId="0" type="noConversion"/>
  </si>
  <si>
    <t>B240AQ-13-F</t>
    <phoneticPr fontId="0" type="noConversion"/>
  </si>
  <si>
    <t>2A 40V SMA</t>
    <phoneticPr fontId="0" type="noConversion"/>
  </si>
  <si>
    <t>D1</t>
    <phoneticPr fontId="0" type="noConversion"/>
  </si>
  <si>
    <t>30weeks</t>
  </si>
  <si>
    <t>Instant Thunder</t>
    <phoneticPr fontId="0" type="noConversion"/>
  </si>
  <si>
    <t>TSB26B</t>
    <phoneticPr fontId="0" type="noConversion"/>
  </si>
  <si>
    <t>26V 480W SMA</t>
    <phoneticPr fontId="0" type="noConversion"/>
  </si>
  <si>
    <t>TVS1, TVS2</t>
    <phoneticPr fontId="0" type="noConversion"/>
  </si>
  <si>
    <t>10weeks</t>
  </si>
  <si>
    <t>Koher</t>
    <phoneticPr fontId="0" type="noConversion"/>
  </si>
  <si>
    <t>FBA0805-601-501R</t>
    <phoneticPr fontId="0" type="noConversion"/>
  </si>
  <si>
    <t>600R 100MHz 500mA 0805</t>
    <phoneticPr fontId="0" type="noConversion"/>
  </si>
  <si>
    <t>FB2</t>
    <phoneticPr fontId="0" type="noConversion"/>
  </si>
  <si>
    <t>8weeks</t>
  </si>
  <si>
    <t>Yageo</t>
    <phoneticPr fontId="0" type="noConversion"/>
  </si>
  <si>
    <t>AC0805FR-0710RL</t>
    <phoneticPr fontId="0" type="noConversion"/>
  </si>
  <si>
    <t>10R 10% 0805</t>
    <phoneticPr fontId="0" type="noConversion"/>
  </si>
  <si>
    <t>FB1</t>
    <phoneticPr fontId="0" type="noConversion"/>
  </si>
  <si>
    <t>13weeks</t>
  </si>
  <si>
    <t>FBA0603-202-151R</t>
    <phoneticPr fontId="0" type="noConversion"/>
  </si>
  <si>
    <t>2K 100MHz 0603</t>
    <phoneticPr fontId="0" type="noConversion"/>
  </si>
  <si>
    <t>FB3</t>
    <phoneticPr fontId="0" type="noConversion"/>
  </si>
  <si>
    <t>AC0603FR-07100RL</t>
    <phoneticPr fontId="0" type="noConversion"/>
  </si>
  <si>
    <t>100Ω±5% 0603</t>
    <phoneticPr fontId="0" type="noConversion"/>
  </si>
  <si>
    <t>R1</t>
    <phoneticPr fontId="0" type="noConversion"/>
  </si>
  <si>
    <t>AC0603KRX7R9BB104</t>
    <phoneticPr fontId="0" type="noConversion"/>
  </si>
  <si>
    <t>0.1uF 50V X7R 0603</t>
    <phoneticPr fontId="0" type="noConversion"/>
  </si>
  <si>
    <t>C2, C7, C9, C10</t>
    <phoneticPr fontId="0" type="noConversion"/>
  </si>
  <si>
    <t>20weeks</t>
  </si>
  <si>
    <t>Third Ring Road</t>
    <phoneticPr fontId="0" type="noConversion"/>
  </si>
  <si>
    <t>TCC0805X5R106K250FTM</t>
    <phoneticPr fontId="0" type="noConversion"/>
  </si>
  <si>
    <t>10uF 25V 0805</t>
    <phoneticPr fontId="0" type="noConversion"/>
  </si>
  <si>
    <t>C4, C6, C8</t>
    <phoneticPr fontId="0" type="noConversion"/>
  </si>
  <si>
    <t>10-12weeks</t>
  </si>
  <si>
    <t>AC0603JRNPO9BN221</t>
    <phoneticPr fontId="0" type="noConversion"/>
  </si>
  <si>
    <t>220pF 50V X7R 0603</t>
    <phoneticPr fontId="0" type="noConversion"/>
  </si>
  <si>
    <t>C5</t>
    <phoneticPr fontId="0" type="noConversion"/>
  </si>
  <si>
    <t>AC1206FR-07300RL</t>
    <phoneticPr fontId="0" type="noConversion"/>
  </si>
  <si>
    <t>300R 1% 1206</t>
    <phoneticPr fontId="0" type="noConversion"/>
  </si>
  <si>
    <t>R2-R4</t>
    <phoneticPr fontId="0" type="noConversion"/>
  </si>
  <si>
    <t>Osram</t>
    <phoneticPr fontId="0" type="noConversion"/>
  </si>
  <si>
    <t>LRTB GVSR</t>
    <phoneticPr fontId="0" type="noConversion"/>
  </si>
  <si>
    <t>LRTB GVSR E3635 RGB</t>
    <phoneticPr fontId="0" type="noConversion"/>
  </si>
  <si>
    <t>LED1</t>
  </si>
  <si>
    <t>16weeks</t>
  </si>
  <si>
    <t>4P connector cable, FRM-AO.35S0 XLPE OD: L3M SK-0-228, with black heat shrink tubing L=150mm. One end is equipped with a 4P male terminal (terminal model: Sumitomo 8230-5379, housing model: Sumitomo 6098-5310), and the other end has 3mm of solder stripped from the wire.</t>
    <phoneticPr fontId="0" type="noConversion"/>
  </si>
  <si>
    <t>no gerbers, 
Estimated price</t>
  </si>
  <si>
    <t>estimated price</t>
  </si>
  <si>
    <t>FR-4 four-layer 27*15*1.6mm</t>
    <phoneticPr fontId="0" type="noConversion"/>
  </si>
  <si>
    <t>4weeks</t>
  </si>
  <si>
    <t>Consumables</t>
    <phoneticPr fontId="24" type="noConversion"/>
  </si>
  <si>
    <t>BOM
Cost</t>
  </si>
  <si>
    <t>Expected Tariff Charge</t>
  </si>
  <si>
    <t>loss rate</t>
  </si>
  <si>
    <t>ENGINEERING COMMENTS</t>
  </si>
  <si>
    <t>Labor</t>
  </si>
  <si>
    <t xml:space="preserve">Notes: 
• This quote does not include the USTR Section 301 tariff and others imposed on imports from China.  The tariff will be the responsibility of the customer.
• This quote does not take into account any such China tariff on component prices.  AAG reserves the right to update this quote in the event that there is a customs tariff impact for components imported to China.
• First order leadtime at normal charge is 8 weeks, unless customer agrees to pay air freight.
• Prototype cost is at 4 times production price, and prototype tooling will serve as production tooling as long as there are no design changes.
• Prototype leadtime is 3-4 weeks depending on component availability.
• 100% end-of-line testing for functionality per customer specifications, performed during regular production is included.
• Quoted prices are valid for 60 days unless specified.
• Payment terms are N30 unless specififed.     </t>
    <phoneticPr fontId="8" type="noConversion"/>
  </si>
  <si>
    <t>Overhead &amp; Burden</t>
  </si>
  <si>
    <t>SG&amp;A</t>
  </si>
  <si>
    <t xml:space="preserve">Profit </t>
  </si>
  <si>
    <t>Packaging cost</t>
  </si>
  <si>
    <t>Component S&amp;H to US</t>
  </si>
  <si>
    <t>FOB
Madison Heights,MI</t>
  </si>
  <si>
    <t>Adjusted FOB Madison Heights MI</t>
  </si>
  <si>
    <t>TOOLING COST</t>
  </si>
  <si>
    <t>TARIFF COMMENTS 2/2/26 -  AAG is using the following rates:</t>
  </si>
  <si>
    <t>Q'TY</t>
  </si>
  <si>
    <t>each</t>
  </si>
  <si>
    <t>PCB Tooling</t>
    <phoneticPr fontId="0" type="noConversion"/>
  </si>
  <si>
    <t>CHINA Tariff Rate - 45%</t>
  </si>
  <si>
    <t>Stencil Tooling</t>
  </si>
  <si>
    <t xml:space="preserve">·25% Duty, Section 301 </t>
  </si>
  <si>
    <t>ICT testing fixture</t>
    <phoneticPr fontId="7" type="noConversion"/>
  </si>
  <si>
    <t>·10% Fentanyl Tariff, from November 10 2025, extended through November 10 2026</t>
  </si>
  <si>
    <t>Splitter fixture</t>
  </si>
  <si>
    <t>·10% Reciprocal Tariff, effective 5/14/25</t>
  </si>
  <si>
    <t>Functional Tester</t>
  </si>
  <si>
    <t>All other Countries</t>
  </si>
  <si>
    <t>The tariff rates listed in ANNEX 1 of the executive order from 7/31/2025 are being used.</t>
  </si>
  <si>
    <r>
      <t>WX1D-77230-</t>
    </r>
    <r>
      <rPr>
        <b/>
        <sz val="18"/>
        <color rgb="FF0000FF"/>
        <rFont val="宋体"/>
        <charset val="134"/>
      </rPr>
      <t>导光条</t>
    </r>
    <r>
      <rPr>
        <b/>
        <sz val="18"/>
        <color rgb="FF0000FF"/>
        <rFont val="Arial"/>
        <family val="2"/>
      </rPr>
      <t>-V0.0 - Light Engine Translated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</si>
</sst>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$&quot;#,##0.0000"/>
    <numFmt numFmtId="165" formatCode="_ * #,##0.0000_ ;_ * \-#,##0.0000_ ;_ * &quot;-&quot;_ ;_ @_ "/>
    <numFmt numFmtId="166" formatCode="_(* #,##0_);_(* \(#,##0\);_(* &quot;-&quot;??_);_(@_)"/>
    <numFmt numFmtId="167" formatCode="[$-409]mmmm\ d\,\ yyyy;@"/>
    <numFmt numFmtId="168" formatCode="_ * #,##0_ ;_ * \-#,##0_ ;_ * &quot;-&quot;_ ;_ @_ "/>
    <numFmt numFmtId="169" formatCode="0.000"/>
    <numFmt numFmtId="170" formatCode="&quot;$&quot;#,##0.00"/>
  </numFmts>
  <fonts count="25">
    <font>
      <sz val="11"/>
      <color theme="1"/>
      <name val="Aptos Narrow"/>
      <family val="2"/>
      <scheme val="minor"/>
    </font>
    <font>
      <sz val="12"/>
      <name val="宋体"/>
      <charset val="134"/>
    </font>
    <font>
      <b/>
      <i/>
      <sz val="28"/>
      <name val="Arial"/>
      <family val="2"/>
    </font>
    <font>
      <sz val="28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18"/>
      <name val="宋体"/>
      <charset val="134"/>
    </font>
    <font>
      <b/>
      <sz val="18"/>
      <name val="宋体"/>
      <charset val="134"/>
    </font>
    <font>
      <sz val="18"/>
      <name val="Arial"/>
      <family val="2"/>
    </font>
    <font>
      <b/>
      <sz val="18"/>
      <color rgb="FF0000FF"/>
      <name val="Arial"/>
      <family val="2"/>
    </font>
    <font>
      <b/>
      <sz val="18"/>
      <color rgb="FF0000FF"/>
      <name val="宋体"/>
      <charset val="134"/>
    </font>
    <font>
      <b/>
      <sz val="16"/>
      <color rgb="FFC0000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4"/>
      <color theme="1"/>
      <name val="Calibri"/>
      <family val="2"/>
    </font>
    <font>
      <sz val="14"/>
      <color theme="1"/>
      <name val="Arial"/>
      <family val="2"/>
    </font>
    <font>
      <sz val="14"/>
      <color rgb="FFFF0000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sz val="14"/>
      <name val="宋体"/>
      <charset val="134"/>
    </font>
    <font>
      <b/>
      <sz val="20"/>
      <color indexed="12"/>
      <name val="Arial"/>
      <family val="2"/>
    </font>
    <font>
      <sz val="12"/>
      <name val="Arial Nova Light"/>
      <family val="2"/>
    </font>
    <font>
      <b/>
      <sz val="14"/>
      <name val="Verdana"/>
      <family val="2"/>
    </font>
    <font>
      <sz val="14"/>
      <name val="Verdana"/>
      <family val="2"/>
    </font>
  </fonts>
  <fills count="1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99"/>
        <bgColor rgb="FFFFF2CC"/>
      </patternFill>
    </fill>
    <fill>
      <patternFill patternType="solid">
        <fgColor indexed="47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3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2">
    <xf numFmtId="0" fontId="0" fillId="0" borderId="0"/>
    <xf numFmtId="0" fontId="1" fillId="0" borderId="0"/>
    <xf numFmtId="0" fontId="4" fillId="0" borderId="0"/>
    <xf numFmtId="165" fontId="1" fillId="0" borderId="0" applyFont="0" applyFill="0" applyBorder="0" applyAlignment="0" applyProtection="0">
      <alignment vertical="center"/>
    </xf>
    <xf numFmtId="0" fontId="1" fillId="0" borderId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>
      <alignment vertical="center"/>
    </xf>
    <xf numFmtId="4" fontId="1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0" fontId="1" fillId="0" borderId="0"/>
    <xf numFmtId="0" fontId="1" fillId="0" borderId="0"/>
    <xf numFmtId="4" fontId="1" fillId="0" borderId="0" applyFont="0" applyFill="0" applyBorder="0" applyAlignment="0" applyProtection="0">
      <alignment vertical="center"/>
    </xf>
  </cellStyleXfs>
  <cellXfs count="15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3" fillId="0" borderId="0" xfId="1" applyFont="1"/>
    <xf numFmtId="0" fontId="4" fillId="0" borderId="0" xfId="2" applyAlignment="1">
      <alignment wrapText="1"/>
    </xf>
    <xf numFmtId="0" fontId="5" fillId="0" borderId="0" xfId="1" applyFont="1" applyAlignment="1">
      <alignment horizontal="right"/>
    </xf>
    <xf numFmtId="14" fontId="5" fillId="2" borderId="1" xfId="1" applyNumberFormat="1" applyFont="1" applyFill="1" applyBorder="1" applyAlignment="1">
      <alignment horizontal="center" vertical="center" wrapText="1"/>
    </xf>
    <xf numFmtId="0" fontId="4" fillId="0" borderId="0" xfId="2"/>
    <xf numFmtId="164" fontId="4" fillId="0" borderId="0" xfId="2" applyNumberFormat="1" applyAlignment="1">
      <alignment horizontal="center"/>
    </xf>
    <xf numFmtId="0" fontId="4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6" fillId="0" borderId="0" xfId="1" applyFont="1" applyAlignment="1">
      <alignment horizontal="right"/>
    </xf>
    <xf numFmtId="165" fontId="6" fillId="0" borderId="0" xfId="3" applyFont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7" fillId="0" borderId="0" xfId="4" applyFont="1" applyAlignment="1">
      <alignment horizontal="left" vertical="center" wrapText="1"/>
    </xf>
    <xf numFmtId="49" fontId="5" fillId="2" borderId="0" xfId="1" applyNumberFormat="1" applyFont="1" applyFill="1" applyAlignment="1">
      <alignment vertical="center"/>
    </xf>
    <xf numFmtId="49" fontId="8" fillId="2" borderId="0" xfId="4" applyNumberFormat="1" applyFont="1" applyFill="1" applyAlignment="1">
      <alignment vertical="center"/>
    </xf>
    <xf numFmtId="165" fontId="5" fillId="0" borderId="0" xfId="3" applyFont="1" applyAlignment="1">
      <alignment horizontal="center" vertical="center" wrapText="1"/>
    </xf>
    <xf numFmtId="0" fontId="9" fillId="0" borderId="0" xfId="1" applyFont="1" applyAlignment="1">
      <alignment vertical="center"/>
    </xf>
    <xf numFmtId="0" fontId="5" fillId="0" borderId="0" xfId="1" applyFont="1" applyAlignment="1">
      <alignment horizontal="right" vertical="center"/>
    </xf>
    <xf numFmtId="164" fontId="9" fillId="0" borderId="0" xfId="1" applyNumberFormat="1" applyFont="1" applyAlignment="1">
      <alignment horizontal="center" vertical="center"/>
    </xf>
    <xf numFmtId="49" fontId="10" fillId="2" borderId="2" xfId="1" applyNumberFormat="1" applyFont="1" applyFill="1" applyBorder="1" applyAlignment="1">
      <alignment vertical="center" wrapText="1"/>
    </xf>
    <xf numFmtId="49" fontId="11" fillId="2" borderId="2" xfId="4" applyNumberFormat="1" applyFont="1" applyFill="1" applyBorder="1" applyAlignment="1">
      <alignment vertical="center" wrapText="1"/>
    </xf>
    <xf numFmtId="165" fontId="5" fillId="0" borderId="0" xfId="3" applyFont="1" applyBorder="1" applyAlignment="1">
      <alignment vertical="top" wrapText="1"/>
    </xf>
    <xf numFmtId="165" fontId="9" fillId="0" borderId="0" xfId="3" applyFont="1">
      <alignment vertical="center"/>
    </xf>
    <xf numFmtId="49" fontId="9" fillId="0" borderId="0" xfId="1" applyNumberFormat="1" applyFont="1" applyAlignment="1">
      <alignment vertical="center"/>
    </xf>
    <xf numFmtId="0" fontId="4" fillId="0" borderId="0" xfId="2" applyAlignment="1">
      <alignment horizontal="left" vertical="center" wrapText="1"/>
    </xf>
    <xf numFmtId="166" fontId="5" fillId="2" borderId="1" xfId="5" applyNumberFormat="1" applyFont="1" applyFill="1" applyBorder="1" applyAlignment="1">
      <alignment horizontal="left" vertical="center"/>
    </xf>
    <xf numFmtId="0" fontId="7" fillId="0" borderId="0" xfId="4" applyFont="1" applyAlignment="1">
      <alignment vertical="center"/>
    </xf>
    <xf numFmtId="0" fontId="5" fillId="0" borderId="0" xfId="1" applyFont="1" applyAlignment="1">
      <alignment horizontal="right" wrapText="1"/>
    </xf>
    <xf numFmtId="167" fontId="5" fillId="2" borderId="1" xfId="1" applyNumberFormat="1" applyFont="1" applyFill="1" applyBorder="1" applyAlignment="1">
      <alignment horizontal="center" vertical="center"/>
    </xf>
    <xf numFmtId="0" fontId="6" fillId="0" borderId="0" xfId="2" applyFont="1" applyAlignment="1">
      <alignment horizontal="left" vertical="center" wrapText="1"/>
    </xf>
    <xf numFmtId="37" fontId="5" fillId="2" borderId="1" xfId="4" applyNumberFormat="1" applyFont="1" applyFill="1" applyBorder="1" applyAlignment="1">
      <alignment horizontal="left" vertical="center"/>
    </xf>
    <xf numFmtId="17" fontId="9" fillId="2" borderId="1" xfId="1" applyNumberFormat="1" applyFont="1" applyFill="1" applyBorder="1" applyAlignment="1">
      <alignment vertical="center"/>
    </xf>
    <xf numFmtId="0" fontId="1" fillId="0" borderId="0" xfId="4" applyAlignment="1">
      <alignment horizontal="left" vertical="center" wrapText="1"/>
    </xf>
    <xf numFmtId="49" fontId="5" fillId="2" borderId="1" xfId="1" applyNumberFormat="1" applyFont="1" applyFill="1" applyBorder="1" applyAlignment="1">
      <alignment vertical="center"/>
    </xf>
    <xf numFmtId="49" fontId="8" fillId="2" borderId="1" xfId="4" applyNumberFormat="1" applyFont="1" applyFill="1" applyBorder="1" applyAlignment="1">
      <alignment vertical="center"/>
    </xf>
    <xf numFmtId="165" fontId="12" fillId="3" borderId="0" xfId="6" applyNumberFormat="1" applyFont="1" applyFill="1" applyAlignment="1">
      <alignment horizontal="center" vertical="center" wrapText="1"/>
    </xf>
    <xf numFmtId="165" fontId="5" fillId="0" borderId="0" xfId="3" applyFont="1" applyAlignment="1">
      <alignment horizontal="right" vertical="center"/>
    </xf>
    <xf numFmtId="0" fontId="5" fillId="4" borderId="0" xfId="1" applyFont="1" applyFill="1" applyAlignment="1">
      <alignment horizontal="center" vertical="center" wrapText="1"/>
    </xf>
    <xf numFmtId="3" fontId="5" fillId="2" borderId="3" xfId="1" applyNumberFormat="1" applyFont="1" applyFill="1" applyBorder="1" applyAlignment="1">
      <alignment horizontal="left" vertical="center"/>
    </xf>
    <xf numFmtId="0" fontId="6" fillId="0" borderId="3" xfId="2" applyFont="1" applyBorder="1" applyAlignment="1">
      <alignment horizontal="left" vertical="center"/>
    </xf>
    <xf numFmtId="0" fontId="9" fillId="0" borderId="0" xfId="1" applyFont="1"/>
    <xf numFmtId="0" fontId="9" fillId="0" borderId="0" xfId="1" applyFont="1" applyAlignment="1">
      <alignment wrapText="1"/>
    </xf>
    <xf numFmtId="0" fontId="13" fillId="0" borderId="4" xfId="1" applyFont="1" applyBorder="1" applyAlignment="1">
      <alignment vertical="center"/>
    </xf>
    <xf numFmtId="0" fontId="13" fillId="0" borderId="4" xfId="1" applyFont="1" applyBorder="1"/>
    <xf numFmtId="0" fontId="13" fillId="0" borderId="4" xfId="1" applyFont="1" applyBorder="1" applyAlignment="1">
      <alignment wrapText="1"/>
    </xf>
    <xf numFmtId="165" fontId="13" fillId="0" borderId="5" xfId="3" applyFont="1" applyBorder="1" applyAlignment="1">
      <alignment horizontal="center" vertical="center" wrapText="1"/>
    </xf>
    <xf numFmtId="165" fontId="13" fillId="0" borderId="4" xfId="3" applyFont="1" applyBorder="1" applyAlignment="1">
      <alignment horizontal="center" vertical="center" wrapText="1"/>
    </xf>
    <xf numFmtId="165" fontId="13" fillId="0" borderId="5" xfId="3" applyFont="1" applyBorder="1">
      <alignment vertical="center"/>
    </xf>
    <xf numFmtId="165" fontId="14" fillId="4" borderId="6" xfId="3" applyFont="1" applyFill="1" applyBorder="1" applyAlignment="1">
      <alignment horizontal="center" vertical="center"/>
    </xf>
    <xf numFmtId="165" fontId="14" fillId="4" borderId="7" xfId="3" applyFont="1" applyFill="1" applyBorder="1" applyAlignment="1">
      <alignment horizontal="center" vertical="center"/>
    </xf>
    <xf numFmtId="0" fontId="13" fillId="0" borderId="0" xfId="1" applyFont="1" applyAlignment="1">
      <alignment vertical="center"/>
    </xf>
    <xf numFmtId="164" fontId="13" fillId="0" borderId="0" xfId="1" applyNumberFormat="1" applyFont="1" applyAlignment="1">
      <alignment horizontal="center" vertical="center"/>
    </xf>
    <xf numFmtId="0" fontId="14" fillId="0" borderId="8" xfId="1" applyFont="1" applyBorder="1" applyAlignment="1">
      <alignment horizontal="center" vertical="center" wrapText="1"/>
    </xf>
    <xf numFmtId="0" fontId="14" fillId="0" borderId="8" xfId="1" applyFont="1" applyBorder="1" applyAlignment="1">
      <alignment horizontal="center" vertical="center"/>
    </xf>
    <xf numFmtId="164" fontId="14" fillId="0" borderId="9" xfId="3" applyNumberFormat="1" applyFont="1" applyBorder="1" applyAlignment="1">
      <alignment horizontal="center" vertical="center" wrapText="1"/>
    </xf>
    <xf numFmtId="164" fontId="14" fillId="0" borderId="10" xfId="3" applyNumberFormat="1" applyFont="1" applyBorder="1" applyAlignment="1">
      <alignment horizontal="center" vertical="center" wrapText="1"/>
    </xf>
    <xf numFmtId="165" fontId="14" fillId="0" borderId="11" xfId="3" applyFont="1" applyBorder="1" applyAlignment="1">
      <alignment horizontal="center" vertical="center" wrapText="1"/>
    </xf>
    <xf numFmtId="49" fontId="14" fillId="0" borderId="12" xfId="1" applyNumberFormat="1" applyFont="1" applyBorder="1" applyAlignment="1">
      <alignment horizontal="center" vertical="center" wrapText="1"/>
    </xf>
    <xf numFmtId="164" fontId="14" fillId="0" borderId="8" xfId="1" applyNumberFormat="1" applyFont="1" applyBorder="1" applyAlignment="1">
      <alignment horizontal="center" vertical="center" wrapText="1"/>
    </xf>
    <xf numFmtId="0" fontId="14" fillId="3" borderId="6" xfId="1" applyFont="1" applyFill="1" applyBorder="1" applyAlignment="1">
      <alignment horizontal="center" vertical="center" wrapText="1"/>
    </xf>
    <xf numFmtId="0" fontId="14" fillId="3" borderId="7" xfId="1" applyFont="1" applyFill="1" applyBorder="1" applyAlignment="1">
      <alignment horizontal="center" vertical="center" wrapText="1"/>
    </xf>
    <xf numFmtId="0" fontId="13" fillId="0" borderId="8" xfId="1" applyFont="1" applyBorder="1" applyAlignment="1">
      <alignment horizontal="center" vertical="center" wrapText="1"/>
    </xf>
    <xf numFmtId="0" fontId="15" fillId="5" borderId="13" xfId="2" applyFont="1" applyFill="1" applyBorder="1" applyAlignment="1">
      <alignment horizontal="center" vertical="center" wrapText="1"/>
    </xf>
    <xf numFmtId="3" fontId="13" fillId="2" borderId="8" xfId="1" applyNumberFormat="1" applyFont="1" applyFill="1" applyBorder="1" applyAlignment="1">
      <alignment horizontal="center" vertical="center" wrapText="1"/>
    </xf>
    <xf numFmtId="0" fontId="13" fillId="2" borderId="8" xfId="1" applyFont="1" applyFill="1" applyBorder="1" applyAlignment="1">
      <alignment horizontal="center" vertical="center" wrapText="1"/>
    </xf>
    <xf numFmtId="0" fontId="16" fillId="5" borderId="13" xfId="2" applyFont="1" applyFill="1" applyBorder="1" applyAlignment="1">
      <alignment horizontal="center" vertical="center" wrapText="1"/>
    </xf>
    <xf numFmtId="164" fontId="13" fillId="2" borderId="9" xfId="7" applyNumberFormat="1" applyFont="1" applyFill="1" applyBorder="1" applyAlignment="1">
      <alignment horizontal="center" vertical="center" wrapText="1"/>
    </xf>
    <xf numFmtId="164" fontId="13" fillId="6" borderId="10" xfId="7" applyNumberFormat="1" applyFont="1" applyFill="1" applyBorder="1" applyAlignment="1">
      <alignment horizontal="center" vertical="center" wrapText="1"/>
    </xf>
    <xf numFmtId="164" fontId="13" fillId="7" borderId="11" xfId="7" applyNumberFormat="1" applyFont="1" applyFill="1" applyBorder="1" applyAlignment="1">
      <alignment horizontal="center" vertical="center" wrapText="1"/>
    </xf>
    <xf numFmtId="49" fontId="17" fillId="0" borderId="12" xfId="1" applyNumberFormat="1" applyFont="1" applyBorder="1" applyAlignment="1">
      <alignment horizontal="center" vertical="center" wrapText="1"/>
    </xf>
    <xf numFmtId="0" fontId="18" fillId="0" borderId="12" xfId="1" applyFont="1" applyBorder="1" applyAlignment="1">
      <alignment horizontal="center" vertical="center" wrapText="1"/>
    </xf>
    <xf numFmtId="9" fontId="4" fillId="0" borderId="8" xfId="8" applyFont="1" applyBorder="1" applyAlignment="1">
      <alignment horizontal="center" vertical="center"/>
    </xf>
    <xf numFmtId="164" fontId="4" fillId="0" borderId="8" xfId="1" applyNumberFormat="1" applyFont="1" applyBorder="1" applyAlignment="1">
      <alignment horizontal="center" vertical="center"/>
    </xf>
    <xf numFmtId="0" fontId="15" fillId="8" borderId="13" xfId="2" applyFont="1" applyFill="1" applyBorder="1" applyAlignment="1">
      <alignment horizontal="center" vertical="center" wrapText="1"/>
    </xf>
    <xf numFmtId="164" fontId="13" fillId="4" borderId="10" xfId="7" applyNumberFormat="1" applyFont="1" applyFill="1" applyBorder="1" applyAlignment="1">
      <alignment horizontal="center" vertical="center" wrapText="1"/>
    </xf>
    <xf numFmtId="0" fontId="16" fillId="5" borderId="13" xfId="2" quotePrefix="1" applyFont="1" applyFill="1" applyBorder="1" applyAlignment="1">
      <alignment horizontal="center" vertical="center" wrapText="1"/>
    </xf>
    <xf numFmtId="0" fontId="17" fillId="0" borderId="12" xfId="1" applyFont="1" applyBorder="1" applyAlignment="1">
      <alignment horizontal="center" vertical="center" wrapText="1"/>
    </xf>
    <xf numFmtId="49" fontId="13" fillId="0" borderId="8" xfId="1" applyNumberFormat="1" applyFont="1" applyBorder="1" applyAlignment="1">
      <alignment horizontal="left" vertical="center" wrapText="1"/>
    </xf>
    <xf numFmtId="0" fontId="16" fillId="5" borderId="13" xfId="2" applyFont="1" applyFill="1" applyBorder="1" applyAlignment="1">
      <alignment horizontal="left" vertical="center" wrapText="1"/>
    </xf>
    <xf numFmtId="0" fontId="13" fillId="2" borderId="8" xfId="1" applyFont="1" applyFill="1" applyBorder="1" applyAlignment="1">
      <alignment horizontal="center" vertical="center"/>
    </xf>
    <xf numFmtId="164" fontId="13" fillId="6" borderId="14" xfId="7" applyNumberFormat="1" applyFont="1" applyFill="1" applyBorder="1" applyAlignment="1">
      <alignment horizontal="center" vertical="center" wrapText="1"/>
    </xf>
    <xf numFmtId="164" fontId="13" fillId="7" borderId="15" xfId="7" applyNumberFormat="1" applyFont="1" applyFill="1" applyBorder="1" applyAlignment="1">
      <alignment horizontal="center" vertical="center" wrapText="1"/>
    </xf>
    <xf numFmtId="49" fontId="13" fillId="0" borderId="12" xfId="1" applyNumberFormat="1" applyFont="1" applyBorder="1" applyAlignment="1">
      <alignment horizontal="left" vertical="center" wrapText="1"/>
    </xf>
    <xf numFmtId="9" fontId="4" fillId="0" borderId="4" xfId="8" applyFont="1" applyBorder="1" applyAlignment="1">
      <alignment vertical="center"/>
    </xf>
    <xf numFmtId="0" fontId="4" fillId="0" borderId="4" xfId="1" applyFont="1" applyBorder="1" applyAlignment="1">
      <alignment vertical="center"/>
    </xf>
    <xf numFmtId="164" fontId="14" fillId="9" borderId="16" xfId="7" applyNumberFormat="1" applyFont="1" applyFill="1" applyBorder="1" applyAlignment="1">
      <alignment horizontal="center" vertical="center" wrapText="1"/>
    </xf>
    <xf numFmtId="164" fontId="13" fillId="9" borderId="17" xfId="7" applyNumberFormat="1" applyFont="1" applyFill="1" applyBorder="1" applyAlignment="1">
      <alignment horizontal="center" vertical="center" wrapText="1"/>
    </xf>
    <xf numFmtId="10" fontId="0" fillId="0" borderId="0" xfId="8" applyNumberFormat="1" applyFont="1" applyAlignment="1">
      <alignment horizontal="center"/>
    </xf>
    <xf numFmtId="164" fontId="14" fillId="3" borderId="18" xfId="7" applyNumberFormat="1" applyFont="1" applyFill="1" applyBorder="1" applyAlignment="1">
      <alignment horizontal="center" vertical="center" wrapText="1"/>
    </xf>
    <xf numFmtId="164" fontId="14" fillId="3" borderId="19" xfId="7" applyNumberFormat="1" applyFont="1" applyFill="1" applyBorder="1" applyAlignment="1">
      <alignment horizontal="center" vertical="center" wrapText="1"/>
    </xf>
    <xf numFmtId="0" fontId="14" fillId="0" borderId="10" xfId="1" applyFont="1" applyBorder="1" applyAlignment="1">
      <alignment horizontal="center" vertical="center" wrapText="1"/>
    </xf>
    <xf numFmtId="164" fontId="13" fillId="6" borderId="11" xfId="7" applyNumberFormat="1" applyFont="1" applyFill="1" applyBorder="1" applyAlignment="1">
      <alignment horizontal="center" vertical="center" wrapText="1"/>
    </xf>
    <xf numFmtId="0" fontId="19" fillId="0" borderId="8" xfId="1" applyFont="1" applyBorder="1" applyAlignment="1">
      <alignment horizontal="left" vertical="center"/>
    </xf>
    <xf numFmtId="0" fontId="13" fillId="2" borderId="5" xfId="9" applyFont="1" applyFill="1" applyBorder="1" applyAlignment="1">
      <alignment horizontal="left" vertical="top" wrapText="1"/>
    </xf>
    <xf numFmtId="0" fontId="20" fillId="2" borderId="3" xfId="4" applyFont="1" applyFill="1" applyBorder="1" applyAlignment="1">
      <alignment horizontal="left" vertical="top" wrapText="1"/>
    </xf>
    <xf numFmtId="0" fontId="1" fillId="0" borderId="20" xfId="4" applyBorder="1" applyAlignment="1">
      <alignment horizontal="left" vertical="top" wrapText="1"/>
    </xf>
    <xf numFmtId="0" fontId="20" fillId="2" borderId="21" xfId="4" applyFont="1" applyFill="1" applyBorder="1" applyAlignment="1">
      <alignment horizontal="left" vertical="top" wrapText="1"/>
    </xf>
    <xf numFmtId="0" fontId="20" fillId="2" borderId="0" xfId="4" applyFont="1" applyFill="1" applyAlignment="1">
      <alignment horizontal="left" vertical="top" wrapText="1"/>
    </xf>
    <xf numFmtId="0" fontId="1" fillId="0" borderId="22" xfId="4" applyBorder="1" applyAlignment="1">
      <alignment horizontal="left" vertical="top" wrapText="1"/>
    </xf>
    <xf numFmtId="0" fontId="4" fillId="0" borderId="10" xfId="2" applyBorder="1"/>
    <xf numFmtId="0" fontId="4" fillId="0" borderId="23" xfId="2" applyBorder="1"/>
    <xf numFmtId="0" fontId="20" fillId="2" borderId="24" xfId="4" applyFont="1" applyFill="1" applyBorder="1" applyAlignment="1">
      <alignment horizontal="left" vertical="top" wrapText="1"/>
    </xf>
    <xf numFmtId="0" fontId="20" fillId="2" borderId="1" xfId="4" applyFont="1" applyFill="1" applyBorder="1" applyAlignment="1">
      <alignment horizontal="left" vertical="top" wrapText="1"/>
    </xf>
    <xf numFmtId="0" fontId="1" fillId="0" borderId="25" xfId="4" applyBorder="1" applyAlignment="1">
      <alignment horizontal="left" vertical="top" wrapText="1"/>
    </xf>
    <xf numFmtId="0" fontId="4" fillId="0" borderId="26" xfId="2" applyBorder="1"/>
    <xf numFmtId="0" fontId="4" fillId="0" borderId="0" xfId="2" applyAlignment="1">
      <alignment horizontal="center" vertical="center"/>
    </xf>
    <xf numFmtId="165" fontId="14" fillId="9" borderId="27" xfId="3" applyFont="1" applyFill="1" applyBorder="1" applyAlignment="1">
      <alignment horizontal="center" vertical="center" wrapText="1"/>
    </xf>
    <xf numFmtId="164" fontId="14" fillId="9" borderId="19" xfId="7" applyNumberFormat="1" applyFont="1" applyFill="1" applyBorder="1" applyAlignment="1">
      <alignment horizontal="center" vertical="center" wrapText="1"/>
    </xf>
    <xf numFmtId="164" fontId="14" fillId="3" borderId="16" xfId="7" applyNumberFormat="1" applyFont="1" applyFill="1" applyBorder="1" applyAlignment="1">
      <alignment horizontal="center" vertical="center" wrapText="1"/>
    </xf>
    <xf numFmtId="164" fontId="14" fillId="3" borderId="27" xfId="7" applyNumberFormat="1" applyFont="1" applyFill="1" applyBorder="1" applyAlignment="1">
      <alignment horizontal="center" vertical="center" wrapText="1"/>
    </xf>
    <xf numFmtId="0" fontId="14" fillId="9" borderId="14" xfId="1" applyFont="1" applyFill="1" applyBorder="1" applyAlignment="1">
      <alignment horizontal="center" vertical="center" wrapText="1"/>
    </xf>
    <xf numFmtId="164" fontId="14" fillId="9" borderId="28" xfId="1" applyNumberFormat="1" applyFont="1" applyFill="1" applyBorder="1" applyAlignment="1">
      <alignment horizontal="center" vertical="center"/>
    </xf>
    <xf numFmtId="49" fontId="13" fillId="0" borderId="0" xfId="1" applyNumberFormat="1" applyFont="1" applyAlignment="1">
      <alignment vertical="center"/>
    </xf>
    <xf numFmtId="169" fontId="4" fillId="0" borderId="0" xfId="1" applyNumberFormat="1" applyFont="1" applyAlignment="1">
      <alignment vertical="center"/>
    </xf>
    <xf numFmtId="0" fontId="21" fillId="3" borderId="29" xfId="1" applyFont="1" applyFill="1" applyBorder="1" applyAlignment="1">
      <alignment horizontal="left" vertical="center"/>
    </xf>
    <xf numFmtId="0" fontId="4" fillId="3" borderId="30" xfId="2" applyFill="1" applyBorder="1"/>
    <xf numFmtId="49" fontId="4" fillId="3" borderId="30" xfId="1" applyNumberFormat="1" applyFont="1" applyFill="1" applyBorder="1" applyAlignment="1">
      <alignment vertical="center"/>
    </xf>
    <xf numFmtId="49" fontId="22" fillId="3" borderId="30" xfId="1" applyNumberFormat="1" applyFont="1" applyFill="1" applyBorder="1" applyAlignment="1">
      <alignment vertical="center"/>
    </xf>
    <xf numFmtId="49" fontId="22" fillId="3" borderId="31" xfId="1" applyNumberFormat="1" applyFont="1" applyFill="1" applyBorder="1" applyAlignment="1">
      <alignment vertical="center"/>
    </xf>
    <xf numFmtId="0" fontId="14" fillId="0" borderId="32" xfId="1" applyFont="1" applyBorder="1" applyAlignment="1">
      <alignment horizontal="center" vertical="center" wrapText="1"/>
    </xf>
    <xf numFmtId="165" fontId="14" fillId="0" borderId="32" xfId="6" applyNumberFormat="1" applyFont="1" applyBorder="1" applyAlignment="1">
      <alignment horizontal="center" vertical="center" wrapText="1"/>
    </xf>
    <xf numFmtId="0" fontId="14" fillId="0" borderId="8" xfId="1" applyFont="1" applyBorder="1" applyAlignment="1">
      <alignment horizontal="left" vertical="center" wrapText="1"/>
    </xf>
    <xf numFmtId="0" fontId="23" fillId="10" borderId="33" xfId="4" applyFont="1" applyFill="1" applyBorder="1" applyAlignment="1">
      <alignment horizontal="left" vertical="center"/>
    </xf>
    <xf numFmtId="0" fontId="4" fillId="10" borderId="0" xfId="2" applyFill="1"/>
    <xf numFmtId="49" fontId="4" fillId="10" borderId="0" xfId="1" applyNumberFormat="1" applyFont="1" applyFill="1" applyAlignment="1">
      <alignment vertical="center"/>
    </xf>
    <xf numFmtId="49" fontId="22" fillId="10" borderId="0" xfId="1" applyNumberFormat="1" applyFont="1" applyFill="1" applyAlignment="1">
      <alignment vertical="center"/>
    </xf>
    <xf numFmtId="49" fontId="22" fillId="10" borderId="22" xfId="1" applyNumberFormat="1" applyFont="1" applyFill="1" applyBorder="1" applyAlignment="1">
      <alignment vertical="center"/>
    </xf>
    <xf numFmtId="0" fontId="13" fillId="11" borderId="8" xfId="1" applyFont="1" applyFill="1" applyBorder="1" applyAlignment="1">
      <alignment horizontal="center" vertical="center"/>
    </xf>
    <xf numFmtId="170" fontId="13" fillId="11" borderId="8" xfId="7" applyNumberFormat="1" applyFont="1" applyFill="1" applyBorder="1" applyAlignment="1">
      <alignment horizontal="center" vertical="center"/>
    </xf>
    <xf numFmtId="0" fontId="13" fillId="11" borderId="8" xfId="1" applyFont="1" applyFill="1" applyBorder="1" applyAlignment="1">
      <alignment horizontal="left" vertical="center"/>
    </xf>
    <xf numFmtId="0" fontId="13" fillId="11" borderId="11" xfId="1" applyFont="1" applyFill="1" applyBorder="1" applyAlignment="1">
      <alignment horizontal="left" vertical="center"/>
    </xf>
    <xf numFmtId="0" fontId="23" fillId="10" borderId="33" xfId="4" applyFont="1" applyFill="1" applyBorder="1" applyAlignment="1">
      <alignment horizontal="left"/>
    </xf>
    <xf numFmtId="0" fontId="24" fillId="10" borderId="33" xfId="4" applyFont="1" applyFill="1" applyBorder="1" applyAlignment="1">
      <alignment horizontal="left" vertical="center"/>
    </xf>
    <xf numFmtId="0" fontId="13" fillId="11" borderId="8" xfId="10" applyFont="1" applyFill="1" applyBorder="1" applyAlignment="1">
      <alignment horizontal="center" vertical="center"/>
    </xf>
    <xf numFmtId="170" fontId="13" fillId="11" borderId="8" xfId="11" applyNumberFormat="1" applyFont="1" applyFill="1" applyBorder="1" applyAlignment="1">
      <alignment horizontal="center" vertical="center"/>
    </xf>
    <xf numFmtId="0" fontId="13" fillId="11" borderId="8" xfId="10" applyFont="1" applyFill="1" applyBorder="1" applyAlignment="1">
      <alignment horizontal="left" vertical="center"/>
    </xf>
    <xf numFmtId="0" fontId="24" fillId="10" borderId="33" xfId="4" applyFont="1" applyFill="1" applyBorder="1" applyAlignment="1">
      <alignment horizontal="left" vertical="top"/>
    </xf>
    <xf numFmtId="0" fontId="4" fillId="10" borderId="26" xfId="2" applyFill="1" applyBorder="1"/>
    <xf numFmtId="0" fontId="4" fillId="10" borderId="34" xfId="2" applyFill="1" applyBorder="1"/>
    <xf numFmtId="0" fontId="22" fillId="10" borderId="34" xfId="2" applyFont="1" applyFill="1" applyBorder="1"/>
    <xf numFmtId="0" fontId="22" fillId="10" borderId="35" xfId="2" applyFont="1" applyFill="1" applyBorder="1"/>
    <xf numFmtId="49" fontId="4" fillId="0" borderId="0" xfId="1" applyNumberFormat="1" applyFont="1" applyAlignment="1">
      <alignment vertical="center"/>
    </xf>
    <xf numFmtId="164" fontId="4" fillId="0" borderId="0" xfId="1" applyNumberFormat="1" applyFont="1" applyAlignment="1">
      <alignment horizontal="center" vertical="center"/>
    </xf>
    <xf numFmtId="0" fontId="13" fillId="11" borderId="8" xfId="1" applyFont="1" applyFill="1" applyBorder="1" applyAlignment="1">
      <alignment vertical="center"/>
    </xf>
    <xf numFmtId="0" fontId="13" fillId="11" borderId="8" xfId="1" applyFont="1" applyFill="1" applyBorder="1" applyAlignment="1">
      <alignment vertical="center" wrapText="1"/>
    </xf>
    <xf numFmtId="0" fontId="13" fillId="0" borderId="0" xfId="1" applyFont="1"/>
    <xf numFmtId="165" fontId="13" fillId="0" borderId="0" xfId="6" applyNumberFormat="1" applyFont="1">
      <alignment vertical="center"/>
    </xf>
    <xf numFmtId="0" fontId="13" fillId="0" borderId="0" xfId="1" applyFont="1" applyAlignment="1">
      <alignment vertical="center" wrapText="1"/>
    </xf>
    <xf numFmtId="170" fontId="14" fillId="12" borderId="8" xfId="7" applyNumberFormat="1" applyFont="1" applyFill="1" applyBorder="1" applyAlignment="1">
      <alignment horizontal="center" vertical="center" wrapText="1"/>
    </xf>
    <xf numFmtId="0" fontId="18" fillId="0" borderId="0" xfId="1" applyFont="1"/>
    <xf numFmtId="0" fontId="18" fillId="0" borderId="0" xfId="1" applyFont="1" applyAlignment="1">
      <alignment wrapText="1"/>
    </xf>
  </cellXfs>
  <cellStyles count="12">
    <cellStyle name="_x001e_" xfId="1" xr:uid="{8C56AB44-8A9E-4F59-B443-932FF3C5E488}"/>
    <cellStyle name="_x001e_ 2 2" xfId="9" xr:uid="{2E13025A-0A58-4EAF-8026-9211C6FD58FB}"/>
    <cellStyle name="_x001e_ 5 2" xfId="10" xr:uid="{F768E32B-D08C-48E4-847D-935A0AA14CD3}"/>
    <cellStyle name="Comma [0]_FM PCB Master EBOM" xfId="6" xr:uid="{7CBBA14C-B55F-4A5F-BA61-F7DCA738528E}"/>
    <cellStyle name="Comma [0]_FM PCB Master EBOM 2" xfId="3" xr:uid="{01E9D774-28E1-4AEB-B770-3B27753D43D0}"/>
    <cellStyle name="Comma 2" xfId="5" xr:uid="{E67E4BEB-CB00-42F0-A3E6-66D74F2B9F71}"/>
    <cellStyle name="Currency_FM PCB Master EBOM" xfId="7" xr:uid="{08FD3788-C99C-40CB-8A25-6C6E93CD45A9}"/>
    <cellStyle name="Currency_FM PCB Master EBOM 2 2" xfId="11" xr:uid="{06DBC776-1526-44AE-90EE-5E273B3A4B25}"/>
    <cellStyle name="Normal" xfId="0" builtinId="0"/>
    <cellStyle name="Normal 10 2" xfId="2" xr:uid="{EDC149F0-531D-4595-AF94-24760022FF69}"/>
    <cellStyle name="Normal_FM PCB Master EBOM" xfId="4" xr:uid="{F2007098-C6E9-4FA5-876B-7E05E0393495}"/>
    <cellStyle name="Percent 2" xfId="8" xr:uid="{C4E08DD2-17AE-4728-A5DF-88E19B85971D}"/>
  </cellStyles>
  <dxfs count="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139700</xdr:colOff>
      <xdr:row>0</xdr:row>
      <xdr:rowOff>114300</xdr:rowOff>
    </xdr:from>
    <xdr:to>
      <xdr:col>12</xdr:col>
      <xdr:colOff>787400</xdr:colOff>
      <xdr:row>5</xdr:row>
      <xdr:rowOff>203200</xdr:rowOff>
    </xdr:to>
    <xdr:pic>
      <xdr:nvPicPr>
        <xdr:cNvPr id="2" name="Picture 7" descr="Certified Minority Supplier_102414">
          <a:extLst>
            <a:ext uri="{FF2B5EF4-FFF2-40B4-BE49-F238E27FC236}">
              <a16:creationId xmlns:a16="http://schemas.microsoft.com/office/drawing/2014/main" id="{CA301DDD-8CCC-4F71-BCDC-BBCF156FE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89650" y="114300"/>
          <a:ext cx="2679700" cy="233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785586</xdr:colOff>
      <xdr:row>2</xdr:row>
      <xdr:rowOff>66524</xdr:rowOff>
    </xdr:from>
    <xdr:to>
      <xdr:col>7</xdr:col>
      <xdr:colOff>3649436</xdr:colOff>
      <xdr:row>5</xdr:row>
      <xdr:rowOff>497719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7E6712-8DA5-4450-B883-8EBEFC17D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37736" y="657074"/>
          <a:ext cx="2863850" cy="20885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0E794B8-9D9E-4152-83FA-1ED4574CE29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3783C85-CF02-40FA-ACA0-D0C7CB2AEBD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D41B498-0825-4F9E-9FDC-AA43CA2CB1B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571F2E6-293D-4C1D-B21A-A8B1867B1B5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3520D28-1687-4380-A10D-18A6E18F130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B9731FD-2A20-4921-B3CE-A688FFDB414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E908D07-B401-45FB-ADF4-7E1E1F38D31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67D7032-3903-4D8E-ABBF-A87EC8B87BC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83882B3-D164-42B9-9358-5BDBA3BEC51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EEC461A-0BC6-4AB2-A74D-783493B183D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6A7E25A-B0E0-4791-A63B-0EB229ECFF2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B284B4D-8912-412C-A906-29AA0E3D55E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CBE9A4D-7E0E-4FAF-A877-BDB9EB33664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736C602-0330-4B1E-8260-507D6675A05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63D0D78-5A55-423E-84C3-6E7FCD9E90C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BCB0CAD-42D3-4439-806B-5844B1EC598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6C97A86-F3D2-44A2-8414-C6058DD0953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88B93FA-03C2-45CA-B0DA-1C39B708F70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33A025C-E896-4C9F-8823-24A88465904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1BE8690-1B6D-42FD-BFA0-5CE52F4FF8C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7396005-A02F-40A5-92A3-4B7A92E43B1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9913B71-8DBF-4C7E-88E9-CE255F990DB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1BB53BF-9DAA-4AA4-9D00-07FEE80F371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4164E1B-5099-4FD9-8D5C-8D3CAB71E3B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C136204-7CCF-4A0D-A1B6-E0226611AD7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D9A3D97-77BC-4A72-9834-55FC06B2F5D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76A2980-D56C-4E7D-9C9F-210CC4E9732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1DE6A86-48F2-419B-B938-6E654ECEE6E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10C2C95-0C11-48A8-85B9-0E1BEFE6F91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86E3A01-DAFA-4B2B-84CD-A6EAEB32C86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805F3E1-98D7-40B9-A41B-162414DD24C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BB2426D-C284-4C64-B569-037EC3560E6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99D1C27-4822-412B-8562-27C057FF137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AA1F9EF-D8BF-41CB-AA16-896185C5399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D05F28B-964D-4522-8FF3-087E749F36C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C830943-08EB-4AB7-A132-4B3F66DA14F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4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0B0EB4E-53DC-441A-91B1-5CC97CA261E2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4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65AA2F5-E520-4455-8CFD-CA2DD4F12A44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4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5483187-31CF-4B91-8653-A12782FDC207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4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1AC8008-45D6-4DDB-A934-F785EBDF477E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4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85BFE77-3943-40B9-A972-50B712E2D715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4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58520F6-CBD6-4983-BED3-E0BAE5616871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4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3AEBD0F-B0B3-4981-A6AE-1E932722DFFB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4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7278C5D-4F3E-4B7E-AADA-DDE5B619D700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4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01B89D7-25FF-48C2-A3D9-49FA40FF2CEB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4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E2F9EC9-9603-41F6-A4FA-0694005E5B4C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5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6B5DC5B-2EF3-4EB4-8999-0251038E12F3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5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4A5856B-DE7E-447C-A76B-8A9CCCAE8FC6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5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65AD5F5-7944-4922-8F7E-A05EF443199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5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00595A6-BBC3-4204-9609-C23A8CF10C4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5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64AFC8E-81AF-49F2-85BD-DC719D01B44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5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B837D04-F289-4DCF-92BB-2289B1BF56A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5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D7588B1-81E1-491F-9F5C-3EB3CBD4A9C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5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A6BD2CB-C1E3-4E48-A84B-F6C3FC3E6F7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5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C9FD61E-8562-4365-85DE-63EE697B401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5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42C126A-7B9B-4CAA-9B32-DC024CD887A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FB4F0F3-B554-4A59-A39D-8CC5F3796B6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C007510-84B4-4173-B2D0-B4230E7CBB8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A6E1ACC-1EB3-47AE-9D99-9A42A579188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8F4FF33-CAFB-4D4E-B3DF-A2A2A0FC5C0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6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062C049-5643-4BCD-B914-1711C9608A3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6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FDC45C5-B114-49DF-AFA9-68C265E810E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6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047E56F-8C52-4219-8121-30071430C57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6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50F878B-DC89-4139-8749-1E91A559E49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6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D07013E-13F8-473C-91DD-DD794294750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6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20C1E2D-8995-4899-98F0-A0F985B816C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7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A2C40CB-1642-4694-BF35-33BFB7422F0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7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6A14DDA-A378-40E0-A8D3-E5601F359A9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7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04F0654-1EA2-48E6-9AC3-595D970B0B9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7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F5DDC65-15C6-44D1-B448-8D8638D7908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7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BFBD775-C6B5-4AA1-8BFC-2B43A3A9DC2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7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B693687-2869-4946-983C-F8D09EA2951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7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F7F163D-AB94-4288-9B43-D230A905245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7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4FDC9D9-65BA-4D95-A623-0CFF4285D58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7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655D071-1939-49B3-AB0A-FCBDECE0EB6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7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31CBC1A-07E3-465D-A4FE-8EA068188AF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8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484E053-C912-4D80-BCF0-51B4F15D21C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8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2AFBA7E-458F-4BE1-B27D-2E7ACE93061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8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FAD061B-8530-4C02-BE52-F135265E4A1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8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A2E4A65-AC0C-4BA9-84AF-8248A41DC8A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8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5BEAE05-8E68-41B2-8858-990BFE4D99E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8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A90775F-ED44-43D2-8C26-253E0CFEF71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8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ECB17D2-1CEB-4A10-83DD-6064658CAF5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8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9D0598A-777E-4570-BC0C-CE4C6733754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8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7A67412-DF93-4753-9195-42F87473B966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8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4F39837-B9ED-46DE-AAF3-3F5D95F1F7F4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9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7826072-710D-409E-9605-F6561A23E6D5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9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3F46C54-E1C5-40AB-8A7C-00F11D441D93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9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8A3F137-E53E-4A69-BDAE-B295EE82A674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9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3019470-B902-4F53-9DAD-93DE9AE2F1FF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9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A5FDE5C-4039-4171-9BA7-45BD6D5790B4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9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82D7E52-D7A1-4484-80A4-BC95685D015F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9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7F0B6DA-42BC-4A97-9169-06C00CE07A2D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9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4636D84-1140-45BB-A8E4-B9C51CDC7E96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9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8592716-4B18-4FC6-AB5F-BC57848EBE7B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9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F520826-E718-4133-8726-1F3318B1D80E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0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27F18D8-9C58-489A-A3E7-A993E72608B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0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B459561-5137-4F21-8022-7D7913506E2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0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C63585A-94F1-4FBC-9C07-8060DEF1037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0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C42C131-C7C0-4AFA-8178-A7A171B1176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0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23226B7-2C7A-4C85-A6D1-94039850D95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0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317CD3F-2678-45ED-8525-FEAB8481681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0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6EC391A-1A24-4865-973D-E86774B8150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0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3A2D696-7B5C-4F68-B656-8D16DFBEDA1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0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F8B57D0-C912-43A8-82FD-E329F0214EC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0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C4B0BFD-22C8-426E-BC1F-E1C52E4BDB0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1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0E03D5F-73FA-434E-A50E-8B664B9FE6F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1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799FFD7-E50D-4170-8119-2619AFD17BE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1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3E4B497-2A24-41D8-9E5E-B277606565B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1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94BBB07-DA80-409B-9A2A-34B12FBD6D8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1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CE8F0E5-175E-4D70-A53B-090E45707E5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1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6314C81-47CC-49F7-B7A7-ACC694B76C3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1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D8FD82F-44E8-4D64-80AF-ED1E8E105A6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1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5B406E4-3BB7-4A24-B1A9-1241E34B113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1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354176F-43DC-4FE3-A673-7D382F624BA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1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1F57D7E-2BDE-46BC-B5F9-172187BB316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2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BEDD7EB-2A64-463A-819C-54077F44801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2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DC54AE3-3525-4DFE-8354-D3AB800E5C9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2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FF5AC54-FD23-48F1-8C34-48944E97295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2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833ADB6-BAF2-42A0-AD69-A0DFEF5A859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2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BA4889D-486E-4191-91A0-A8E18DE9196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2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DE81BAE-0A18-4BD0-BC04-4249FB4C24B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2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143FAEB-6E9E-4EAD-BF2A-C0BD31FABBD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2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9FD8A03-88DE-4565-9403-2FCFFAE287C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2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1B59E8C-D8C3-4A04-80AE-8366A88EACD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2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C5D6754-8866-4452-AF50-D39373F35DD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6466643-5264-4467-BCFA-56433D39F32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EB5E8E4-DC3E-44C5-B3D9-FE18B92B031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73FEC46-D18E-4C02-9255-B388BD0AEA8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C13EA65-A90D-4049-B748-0654E34AD5A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FB309E2-247C-4A69-B5B1-1EF242BF68F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8690874-3A98-4602-B00A-79782BC36A2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3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D440329-E1FC-4632-B537-DED1FCE60CE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3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F039FAF-52E7-467B-8A65-2C511E5BAA8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3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8E17620-A8C3-4543-ADC0-2102C518FA9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3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5C47CC7-0041-4DB2-9086-6750D988108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4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55D3D7A-A2B3-4889-B14D-9D693EFBF1C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4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A7DEF44-16ED-49B9-8671-95D135DC9B6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4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3FAF716-3F07-49BC-894F-DA3F13A7374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4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37A1BFE-4265-40A7-B7A7-350894BD2D5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4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72BDADD-FEDB-400C-BC42-715D3BD93DA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4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7569258-0CB6-4435-9301-4BBD32173A4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4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F354995-61D8-41F8-8B92-15451391185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4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AB4E37B-FB9F-46E8-B03C-62462B5D010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4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C7251CE-C2F8-4906-87EE-3126ABA83A0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4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2C9B50B-7119-4B0D-8191-1DCD370FDB8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5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4620FB4-3B5B-48C3-9FC5-86323DF99F2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5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05AA9D5-7902-4E22-A2ED-95614EE0FC6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5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AF78041-6B81-4EAE-9E51-FF65BED802C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5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5365B7D-E685-4DB6-BAE2-63A61F923A6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5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DF2353B-DFDE-4020-B9A8-77D2ACC4B2A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5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95038E5-62F7-47A9-BCC4-E0AB3F484ED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5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6CD51DD-A841-4191-A565-D14A99967A6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5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1F0DE47-37A8-48C3-81F9-2709B1D4CEB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5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AB5BB31-BA3E-4D25-9AEA-C373047115D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5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EDF0E24-BBD3-42B9-8A7B-9EAFC7A11C0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6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0C39488-1DD0-46D8-BA42-3D6708B1559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6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CBF18B7-0EE2-430B-98EC-78FD08AF83E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6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66AAB53-8E1F-420D-941B-3986D652217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6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B1BA530-8280-4B32-A42B-696DDC6810F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6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EFBB57C-FD2E-41A3-B8A8-40D937286C5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6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8A5AB7D-0228-4885-A099-BF0B13E0618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6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28F7B87-F0D9-4554-8C9A-F2F2E0E5617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6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BD6A277-95FE-4A21-B709-6976C7E1184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6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5DFD1E9-535C-4D37-8659-FC09153C755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6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C887332-93A8-4B6A-8D74-12B914E4230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7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3656B62-F981-4F44-BBB2-FFFCD344892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7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841FCA7-1CD1-4873-89F1-367C37D9A2B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7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DA8A4B4-0B41-4935-B20A-84483A9D6D7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7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E551E86-EE7D-4004-9798-CD34078F90A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7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67B9A87-516D-437B-AA5C-D00552D6E73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7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BE8F8EE-453E-484C-B014-1095BBB3DF9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7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E89550F-44F6-4AA1-85A4-55C596B7082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7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BE64026-D7BE-4EB7-BBE0-C243998F3A6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7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B0AA153-794B-4DF3-8888-11630A6843C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7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B5C517A-DE14-475F-99EF-9257F6915AD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8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9F2130B-3B63-41C0-8D9F-B0CF3D747B1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8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BAAF281-E4EE-4F24-BF05-CA1F7802E7C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8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A5ED9B3-66C0-4DBB-98DC-5F4FD1FF9A1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8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A58FC82-AD1D-439B-B6E3-4D7BED1E632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8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4CDE132-1964-45A7-994A-11FBCA018BB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8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F0A36ED-05E2-4BEB-8B9C-D141F863939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8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30306DA-FBCE-443C-9B85-0C188EE3C11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8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6116232-70EA-4386-A88F-930E07799DD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8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7CEF1D8-7FA5-475F-94ED-44237544C16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8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D03FB62-A6A0-47AC-8CD1-4F4F9D4FF31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9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EE81070-8213-4C6D-891D-70F87DF6526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9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B5B41BD-40D8-4005-B7AC-93477C31DB5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9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7D69882-FF5B-4F7A-86E3-EE370158314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9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51291F8-F18A-46F9-B6D3-5295C27D01A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9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911CB48-FC6F-4B57-8CE6-3AA4E9E7E1C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9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3BC622E-DA1C-4951-8C69-C8EE0E14A9E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9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36DF6DB-0BEC-4AE7-95D0-08A6C31275C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9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EE74BF6-7C44-446D-BC42-768C9141446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9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FB5351B-B3A0-4130-84B6-5D4A19B81AB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9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BC585A7-ECE2-4274-AD1F-67385815EF8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0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9BD7052-DD16-4644-ADB6-3A84C73E18C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0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33A8877-3CA8-47D6-B0FA-5478AF4FBAA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0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E96BFE5-065C-4857-AA4D-C8CEB45053F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0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84FF4BB-6F4E-4A76-887F-059B9748D80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0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50D4D13-133E-4EDA-90FA-AEBC6F0533B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0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4653075-212C-4736-BA5A-C411F7E6617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0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BEC0F7C-6525-4609-9AAF-251D80673C1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0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AAB32D0-28E7-4532-AAA6-80921A7893B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184150</xdr:rowOff>
    </xdr:to>
    <xdr:sp macro="" textlink="">
      <xdr:nvSpPr>
        <xdr:cNvPr id="20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A6DF74E-BE5E-457D-8854-5A479EC262E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184150</xdr:rowOff>
    </xdr:to>
    <xdr:sp macro="" textlink="">
      <xdr:nvSpPr>
        <xdr:cNvPr id="20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B16DEF8-2718-4581-9909-2AC28F50D07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184150</xdr:rowOff>
    </xdr:to>
    <xdr:sp macro="" textlink="">
      <xdr:nvSpPr>
        <xdr:cNvPr id="21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DC7967C-9BD1-43A6-998B-A4B0A123AED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184150</xdr:rowOff>
    </xdr:to>
    <xdr:sp macro="" textlink="">
      <xdr:nvSpPr>
        <xdr:cNvPr id="21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A58DEAE-A35C-4A0F-9737-B064B55FAB3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184150</xdr:rowOff>
    </xdr:to>
    <xdr:sp macro="" textlink="">
      <xdr:nvSpPr>
        <xdr:cNvPr id="21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4C179C4-5E93-49A1-9EF2-3995280276D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184150</xdr:rowOff>
    </xdr:to>
    <xdr:sp macro="" textlink="">
      <xdr:nvSpPr>
        <xdr:cNvPr id="21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1F306BF-0FB9-465F-AE51-C551016DA34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184150</xdr:rowOff>
    </xdr:to>
    <xdr:sp macro="" textlink="">
      <xdr:nvSpPr>
        <xdr:cNvPr id="21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3833AEB-E8B1-4BF4-91BD-E26FF2E30FE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184150</xdr:rowOff>
    </xdr:to>
    <xdr:sp macro="" textlink="">
      <xdr:nvSpPr>
        <xdr:cNvPr id="21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0BEADA0-6EBC-462B-84B9-81D45441841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184150</xdr:rowOff>
    </xdr:to>
    <xdr:sp macro="" textlink="">
      <xdr:nvSpPr>
        <xdr:cNvPr id="21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E3928FF-6F80-4AF2-8277-18F49C076F5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184150</xdr:rowOff>
    </xdr:to>
    <xdr:sp macro="" textlink="">
      <xdr:nvSpPr>
        <xdr:cNvPr id="21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A67350B-BBDE-4C23-9AEF-5494D58A033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184150</xdr:rowOff>
    </xdr:to>
    <xdr:sp macro="" textlink="">
      <xdr:nvSpPr>
        <xdr:cNvPr id="21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5C269D7-9726-478F-855E-53E14890640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184150</xdr:rowOff>
    </xdr:to>
    <xdr:sp macro="" textlink="">
      <xdr:nvSpPr>
        <xdr:cNvPr id="21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7A8533D-F67B-44BB-BC18-42A6788B04E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4F91EDA-0DEE-44C8-96A9-E55A50B5919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127619A-2D88-4D14-AE61-ECE8E19C75F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12ED630-0159-4EA3-93D1-BA3533C656B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1766224-B1F1-4695-B17E-9C1E06022EF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6C6C9DD-EF6E-4279-A27F-C507348242B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F78ECDC-4F98-4D58-BBAB-CDDF2DB6588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7D50994-C924-40CE-A171-FEA8C55E487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84E173B-47D7-4E1B-88DE-FA10285FD2B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E9B002C-A3E2-47D9-A47B-1F88C5F00FC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40F86CB-7531-4FBB-8E59-07C21BFA807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3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4337498-BF87-4499-A2F9-EF19CEC51B4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3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3E347A6-E4DB-4A84-9771-892393AB515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3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83E5D8B-2BB0-4BF4-B043-BBE0420A600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3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73348E1-469D-4D0D-8557-F887E97B153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3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46513E8-0DA0-473E-8A2B-BE664411DDA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3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7548C1C-3A7E-4C0B-AD77-0E81C454480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3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C978795-282E-4080-8F55-8250D3E0658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3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12BE238-D0F8-4029-B751-00A73836D8F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3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7325CD1-C4CB-419E-AB3C-F670CE28AF3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3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99EF301-1865-4BD8-9195-C2355A4EEB1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4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451394C-67D2-4B57-AED3-2D4E6EBE7BB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4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AAA5001-E200-4761-878D-40AE4E3B708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4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7946D84-CAD6-4EB4-9463-B444C927B8B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4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EE76A86-1363-45F4-8924-C43B3B7FA97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4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2508735-4380-4D62-8ECF-1A2A9C666E6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4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3304911-317A-4D40-B596-134D328C50A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4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693740B-7FF2-4E5C-B378-9A7A0296247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4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F8E513B-1687-4D7A-AE3B-8D0C892A2C6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4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9C008A0-4676-4332-A065-CD1BDE0A64B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4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E7162E9-8E61-4944-B847-0DDAC6027C2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5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3D5BAB5-9EE9-4CDC-AFED-A09A04213A0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5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DE61666-9DF5-41ED-955B-795576425D4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5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334A282-065B-49A8-9B56-556AE873214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5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FE33190-E48B-4C44-945B-EDD1D6705C5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5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C9F9E15-CEF1-44A0-A270-80C79B7C006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5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E63AF07-5F9C-4702-AE62-B844AC46FD3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5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63D1F32-F63D-4142-B1E8-136118D43225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5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D90555F-DD46-41E7-805B-BB0C29CDB308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5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C005CBE-D3AF-433E-B801-D7268B87E716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5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FC6D054-9903-472C-9E30-7595ECD72767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6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D3AA3E2-8D9E-4C1D-B1FF-C6CB437BEF3D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6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7A34F72-D754-4A38-ACC9-6E6ECA1E61FF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6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FD2604D-1C52-45C8-BDED-1956DC933179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6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8400D64-0210-4F90-9564-4E63E87A297D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6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F80FA39-9DD9-47D6-9F39-B9A10F210281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6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0C8C4D0-25B7-49FB-BFC5-5B8DA2D47132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6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3D06512-1ED0-4CB7-8DB5-836E59684FFE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6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1ADBAF1-9A9C-4AB2-A1A2-68500C2659F8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6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DE59423-B434-4847-A1CF-A942D8C48A8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6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3263365-E3CA-4676-9A38-DB7B0E7772F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7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AF3F91F-B2A1-405C-8B9F-5A680FB75B6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7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3152AEE-B2A5-41E1-835E-7CC7FBFF6D4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7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D310745-1B81-4DAC-BBD3-1F8BAFBFDB6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7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4CF2BA9-82F7-46D7-AB38-0CB80D777B9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7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D191904-B417-4F06-B998-2641FB0D59E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7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519363E-ACEF-494F-B3A9-FB12EDF00B1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7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EA70A05-97F8-4F7E-8B98-D7324F430B0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7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5DC8D79-D842-4D97-8CB4-9A10BCFA36A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7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5AD8803-565F-4F57-A336-DA7F37A919C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7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C9B2F49-DDE3-4F50-9C35-692394FB8B2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8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EA9FAEE-D47C-47B4-8203-D6827E951B3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8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22BF22B-806A-415E-AB04-0D5C3106F57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8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37045B0-5A8E-4837-8E3C-7AFAD8EB527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8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AAADA60-188B-4637-B2FF-9B7E680D127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8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5D6C78A-8BDC-4477-BA78-08A75148D49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8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0FA5BD6-E869-45CF-B7D2-2F39034BB87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8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968B3E3-74FD-4B18-A391-0E43CD988FE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8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715D729-9271-4067-A8B6-25448289F5B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8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41C7004-03FF-4A3C-872E-58D075D5175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8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80B1994-B479-49FD-935C-C746EB3D684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9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31DF211-3B13-4A52-BEF8-BB6CBF0C008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9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BB3A166-6E24-4AB9-B656-EB831127FC7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7303B9E-ECF7-4439-80EE-5D42BB0E1FA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33BFA77-FAF3-4460-8ABD-6EBCBFF74DC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ED741EC-415A-4EFD-B806-7596E6E1A86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AF271F1-A105-420B-BE05-AACAED09C21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DB9B43B-B9A6-4FD5-B44B-059F23B54C0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542CCAC-73D2-4FEE-B9C8-E2F5B434D72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7B6EBF9-FD15-4908-9C7A-6EF6A69A791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D1EF35F-558F-4A9C-B51B-47BE544464B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0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19D8D9F-F41D-44CE-BBF0-00236C7A51E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0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E99890A-143D-47A4-BFE3-B2D77B2B93D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0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1CF48EE-021C-4F62-8BCB-9AA183F6AFE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0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BE205AB-B0C0-4F1E-A095-78ADE3425D1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0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91A854E-08A3-45CE-80BE-B7597308080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0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9539C59-3F64-4EB3-B997-02E40D478A3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0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94F1170-9236-416B-A57F-77C95BE668F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0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B8C5FEC-D4A5-4696-81B5-6A715875C8D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0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5E1DFDC-CFB8-4DF4-816D-690A56F1E72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0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2A13219-29AB-43F8-A790-BEE7992D4C2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1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F7C099E-1FAE-40F2-85BA-DA160C3D979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1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BF31D4A-86BE-4D0C-8117-A30EA10886D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1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237C560-D038-41BB-B0D7-1F19E195B84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1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CBC66CF-E0BC-45A8-AA53-E5316648D82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1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A5E96C0-6E27-4F30-8BE6-8074F8A2DA6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1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8EE198F-66B8-400E-B68E-FDFFCC5C697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31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698F75A-1BB9-495F-9550-98C4D6A5673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31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38A1CFD-66F4-4AB3-AD3B-998B50EC875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31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12A0B88-0E2D-45BB-8418-5C3A1E4A0E1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31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4AE5799-E01D-4AAE-865A-CBDA8434135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32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914EAAA-499A-405B-8B4E-59159E309FD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32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AEA23AF-F191-4ADB-97BE-2CBC2D5AA9D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32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E69284E-709A-4DE9-9015-AF1D211FB72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32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C4E97D9-8DCA-49F1-8557-733262759E5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32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D00BBA2-BF49-4542-9DCB-805FEC575AC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32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A93720E-1EEF-4E02-8AC7-487C3FBF981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32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C80D03B-DB85-419E-8E76-0A43A8C55E4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32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8BB4BB2-7D50-490C-B6B0-FCDD929A2A5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32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CA18408-0240-4CC7-8F99-129A35EB843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32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E6A1B09-A7D4-4ADE-9738-CE995438FF5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33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2841215-CB9C-4AFC-B271-26EB78B9FCB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33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C5E1258-1156-45EC-8993-1B9B26E3C86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33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CBF5777-6E51-44FA-8D18-F020C322242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33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CE41873-BCA8-4B9C-96F6-97AB7093A6B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33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67E73CA-9DAF-4604-B2ED-A36F2A791CC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33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24C6E40-74D8-4491-BC4F-A12B9382510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33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4A7597D-6DB1-4AA6-874C-D8E3F112BD8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33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E8E62BC-C11B-4CB3-9DCA-3DD14BD292E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33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DE40469-68CF-43B4-A8FB-1852D3CBE1E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33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4DCF512-09C8-4C02-94CE-376D7623427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4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EE2A35D-AE60-4BE8-926F-DFA33BBBFD5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4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B9DF889-EAD4-4A0E-BCF6-7B53F0AEE5A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4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BC613AD-9271-41DB-8FC2-681C30D939B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4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5203D18-88E8-47B9-90E8-C29FAF46D98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4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69EA35F-A752-47C2-BEAF-D1C7C22874E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4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94DB86A-5C14-469D-BF54-95979E9149B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4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D22899F-FED3-4FFB-AD69-97D608C5561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4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0B465DA-D482-41DC-B5D5-3960580ED49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4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D3FAC78-94E5-43F5-A183-D204CB9A72E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4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386BB37-2FFD-429F-987E-1CE97A5DBC8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5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2BA2D2B-78C9-4CF3-9FE1-07A4F266386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5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BBAD4F8-9FF5-4910-8108-75BCAA6E69E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5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8EC4B16-4F6B-4D8F-904F-A93B72659BF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5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2999677-BEE8-4C2F-8D59-0441F27CBBE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5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2DA0D5D-7BF6-4A9D-9299-F6F47C7F699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5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AA17653-122E-4974-B172-16A05B70D79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5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C200E51-528F-40BC-950D-B49224E61C6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5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B46B113-BCA8-4930-A43C-8E070F3A16E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5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CC2927D-81D4-41F6-B3A0-94093AA2A40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5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BA720E9-457F-40BD-BC09-AB5FAB1996F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6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F27ED7B-BD65-4A39-90C7-E6E0EF7A22C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6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54BDA77-6307-46AD-BE08-B9E779F7848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6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685915D-EA8B-4879-BAA1-BFF70FE79E7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6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16E6C93-2200-4AA5-9840-1D86B7A7E29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36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733DF05-6009-4E20-8F93-CF8AA054E73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36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017FF5E-33D2-47FD-A57D-94BC303C42E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36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79E7A02-4ACD-41A3-83A9-120B4EDAA8B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36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1A791D8-9039-4554-8838-324C5257B02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36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F51E53B-43BD-40F9-88E8-02C802E6F80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36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CF457EF-AD20-4B0A-BA91-02687EDC83E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37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602A18A-C384-48AA-AE14-E615EEB517C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37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A5D9AB8-015B-4D34-BCB9-50FE8A0BA76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37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9BB60DF-2637-4D39-95B5-6EE03A9B81B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37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D7C8006-E162-42C3-AC91-F988D1E524A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37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5D2A4E8-FBC3-4945-A115-EDCBCCB0EDE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37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A943C79-9FE0-4B27-9388-BF271B4D5530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37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4D1EF9F-6222-4C14-A4C5-E6F65D2CB37C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37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8593B9A-AAD1-4C6A-AFA6-EEF23F82A229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37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3D74309-7DE2-46D4-88A1-B1CE81079B45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37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1182B46-1330-4338-A477-105425E1FC4F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38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D9A81D1-2E4A-43D3-9FA9-516A9BDDA306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38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C10CB45-CD44-4792-9906-EDB7EBF5C5E9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38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6441C29-0E2C-44C1-8992-41D816F69357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38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9875699-592A-4C42-84FD-7CA4F3F62D24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38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0211392-7373-4B9F-AC70-FA133F417079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8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C152119-2791-4159-8853-D6D68340CB5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8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2303C59-2DAB-41C7-AFD6-A5CEDD72100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8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F793911-249E-4205-9E15-C4455056E58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8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3CC53CA-AA2F-478A-9EB7-EE9EEBF925F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8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4AEC2D2-67F5-4F70-9ED1-734C1EC94E3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9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0D0F0C0-A53B-4EC1-9765-FDA211BC528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9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22627FA-467F-4AA9-AB15-F05068DBAD8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9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7BDCD15-330B-4BFD-810A-DA2459B8980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9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81CB2CB-43FC-493B-88AA-A94FFBF8570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9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8A281E2-6DF3-41CF-9176-FDB36DB8286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9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6EDA7C0-3347-4534-A827-366F69EB259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9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F487379-32AB-4B06-8614-490C2CBB8A9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39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1E85DB6-7942-4E8C-82C2-4D2B3F645000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39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E82F574-85AB-4CBE-90DF-8470BAC315E3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39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C283E05-4446-46F7-9FDB-E7EA71B07307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40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624A455-92AC-4A07-BF44-E067507EACF9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40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00F5296-2887-46B0-85F0-3F9483396AF7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40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47A5F63-4444-4C54-B4EB-75DC77DB419F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40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E40E448-61A7-46DF-9EB0-F504660ECD26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40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CCC6016-C797-4F9D-9B72-3F90D0D10DFC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40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8A24ECD-21CA-4695-8D84-96B93DBE6AC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40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FAD5758-201A-496F-9EFF-54D896C70B0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40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9852E3E-4002-4B1B-B7D7-8EA445FE2B9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40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AA59570-9548-48BD-B2FB-B762AD9ED17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40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9EF03F9-8B7B-4EE6-822E-518B39D95DD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41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88D5249-D0DF-4495-A107-300AC3EB8A4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41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60B52A7-72EC-4C38-BC7E-72DB59DCE72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41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7681FD5-5A7D-4D0E-87E5-F7B2359C923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41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632277C-BF57-403D-B54E-D9FB70C36E4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41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B0EC2FF-52F4-46BE-AE06-317B50E209A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41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0CA647D-5A52-445D-AF51-A50AAD17790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41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3E07445-55D2-4D6C-91F1-6DBF866A696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41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1B86372-9623-4298-BA40-55811E7E182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41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829E029-68B0-48FF-8787-C2F7C5A1601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41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335DBC0-D7DE-43E1-84C9-78B0C42CEE8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42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AE59F7F-66E9-4309-B6F5-633B9F8CF1E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42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2F46A2D-D4EB-4039-AA22-EEC55656F9F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42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FD866B5-2B30-42EE-9A5D-A51A68F04F2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42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4E4172B-7273-48FA-A90B-0D60C5505FE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42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EF413CF-5D3D-4349-9D98-AAC47651DD7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42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C725AE8-EE9D-4191-9E2C-DD2259E2BE8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42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5CB692A-2A98-415D-A6AF-4479C9A2349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42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D781809-007E-41D4-A6DC-A8C30E58214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42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62729DC-A566-41BE-821A-465240CD5B1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42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BE4A641-ECF8-4D35-BA82-C19D568F649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43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26A38EE-DA3E-4F37-819D-7E26CE27312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43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60DED1C-F3FA-4D1B-993A-EBC13C651AE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43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A56E081-CCE7-4FF6-8DBB-34505DCFAD6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43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16054B8-974F-4C72-BE73-0676E127A48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43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5F5557A-0A0E-4042-AFB6-95804783466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43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DC725C3-FCF1-4590-BC16-88D3F043566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43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5E9D099-664F-4E22-BB18-DAC9CFD8DA5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43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5A326F2-9BDE-4E27-BD94-4061A0A67F6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43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F09E6DD-5BD6-4B70-A792-9C1AA8A6972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43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7265DA9-5117-4819-8D75-301D289F1BD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44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2F5F1F6-2D9D-4A7B-966C-B1C7A10AE1F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44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D437F14-1F0E-4210-94DB-FA06791B67B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44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6280EFD-83B7-421F-A97B-2D339B6D44E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44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EFA8659-067B-473E-A20C-57DB100EBDB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44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EFB3AE4-123C-4E19-8F8C-47E4FD5FF37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44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28739FC-7185-459E-837D-E3F5A983D05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44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EB48FE3-5DB8-4F62-9C0C-DDFBB4235A7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44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5FFD2A8-AA30-4FC7-8955-F2C4308D92F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44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DD9330B-486F-4168-BB0A-69F8217E421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44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E3DACA8-7129-4D34-804B-1CCF2B0D68E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45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EBD7AFA-A34E-4828-809C-DC5BCF2CB35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45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0A6626B-D54D-499A-A80D-489E7E6F20A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45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9D8B705-1454-40D5-8853-DA9F989AECB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45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42100AB-4E32-463F-9039-7D290910E8D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45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167CB6F-D7C4-4464-AF64-EFCC0EBF1B8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45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040EEA4-79CD-4E0A-9FDD-5A16B0C294D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45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E426FAF-BE6D-4385-BF6D-3357976307E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45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FC4F3EB-F306-43BB-934E-BA787E1B836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45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3F41C07-A1CD-4CB3-9A79-341D0143631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45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24E0719-B6E0-4612-9045-4D7537CAB2E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46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FDD2379-A8D0-494C-A645-1840585A316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46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6B56038-5185-4906-8FFE-A1A4862EA8C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46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8574239-180B-4C38-A8A2-5DD06AC27D1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46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C8C5AF3-AE8D-4B6B-8DB8-20F47A8F37F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46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7417585-9938-4E07-96BA-A902EFA235D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46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6D438AE-E6F0-426B-AEDE-EBD6C3AC88D2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46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1944E0E-0A51-4AF0-84B7-02349A2D2F36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46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0F64A59-7D44-4866-91E6-7851C61A89DE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46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1F1B410-37F4-4D96-AC4D-CECAAFAB16F1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46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A842015-2FC2-4DDE-88D8-6D2E8491E758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47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D5AD255-BE56-4AD0-B452-EAA3B21BDD1F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47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7750F1A-46D3-4CDC-980F-2C61160DE3DF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47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2842ACA-84DC-4915-8C37-D781AC2CCFDE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47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C1E006B-7F6F-437F-89E5-1F0F41C13B65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47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73A4971-81DB-4BF7-BEC8-502B46C2D0A5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47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6D930AE-67AF-49BD-926E-5CDD59755B45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47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1059800-BE14-4DD8-AD33-B9D9B24A4837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47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368D13A-6FA3-47FE-816B-202635D9FE0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47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18DC118-2B35-4EB5-971E-572311C7ED0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47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6B4A4F1-F94D-45F2-8E71-D120E4A8FD8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48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C7472CC-C786-4858-9C32-A5D9DD57ED0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48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96EE2A2-EC25-4972-8B96-11F4278D049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48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38E2D21-CC03-45AB-AC87-6AA8BEF6D36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48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937B7BE-30DC-43CD-A210-6D2D30DD22E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48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1A8CBC2-C94D-4108-A3C6-7D370D02243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48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90DA834-D87E-4931-9505-FE65BF96AA3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48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ABD5E7D-FDAB-49D6-A459-BA567D3CF31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48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027E351-3044-4400-BD96-6C0F145DB22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48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86A61CE-D41B-416D-9881-6B77E199CD5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48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9ADD9DF-C9F1-4553-8034-96E732B28F5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49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61D4C2E-ED98-475F-BF46-36E73118D9A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49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66F6B2F-17D7-4324-9B60-1AB1052B48B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49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62F5CA6-AD12-421C-A26C-9DD901557DB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49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60BB1DC-2AB7-46ED-8E5D-57B1302676B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49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CBC0F09-7A50-4E32-89D5-3E4188714CC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49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0D1F0A2-8955-4C04-84B5-4369FFD696B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49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9D5CDA0-6ABD-44EF-8A9F-040FFE90059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49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E22D0D4-440D-48DD-9A47-4BA16E8E111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49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BED3C8E-1F5A-4F22-9D30-A73888EB703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49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DD427BB-04CA-472B-83C9-52C4E410AF7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50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37EF38E-AA1A-40C0-BF20-554B9BD3676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50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86117B9-0125-43C2-9CDB-DB1812B5870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50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A444814-7A1F-4659-B09C-C1ABAE8C67E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50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4C0E2A2-72A8-4E1F-85E9-E837D6DF636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50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7873490-2CCB-4C44-8759-FD93A68A033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50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0B4B155-6876-4047-9245-67328B80FAA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50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010C95D-042F-4DAD-BD5D-2DB47710931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50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53F4909-273E-4941-9EC5-322305170CF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50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309BAFD-1E9B-444D-A479-28035C5584D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50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3C88A6E-45DA-4C14-B81E-9D3532AA24B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51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25B2333-1E98-429B-8177-AF93D79122C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51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0849B79-0E1A-4624-A0CB-B021012BF83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51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6B86770-7E9D-4BD7-B0F2-08571B84E83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51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C1D88E8-6BEA-4519-8006-E465400D73C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51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E7DD4A2-CFED-45D7-8C7E-B6D6AD32F27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51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102747C-C918-43FF-A394-BECD3B526F0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51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0F8944C-3991-4F86-A40A-455F0B72782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51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825C6DD-5D72-4268-8626-C848E55749F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51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E10ABE4-C356-4BEC-A9C3-6DFF4BA80E1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51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5EBFAF4-5630-4384-BA53-AB1358ECF6F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52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6F2CC80-F8F6-4EDA-ADFD-118A4AF0D1F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52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401A0D9-D6A6-4BE0-A802-EEE366C43C9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52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6821280-667B-4A43-BDBE-DB22CD1C468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52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9094F73-A815-441E-831F-0FD147D24A5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52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1FE3B5C-78AA-497A-9742-5EB4D333884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52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E929241-1D10-4813-ACB4-815594CF848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52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DBE8345-69A0-4A26-BE10-CDA959E6223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52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3C527E8-6189-40F8-8DA4-E767616DFCA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52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44FEBAF-C809-49B7-8DDB-779BB92896B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52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859EB5D-C181-484F-A15C-6575D9E0440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53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1DE9422-005F-4C1B-AC23-26AFBF9AA25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53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B873A4A-A8AC-45C5-8DBA-1A1C4FE7836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53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1B97C73-DD4E-4426-A5BD-6E0C3209641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53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796F44E-066D-4F40-882C-629DC136197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53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6C5F5E7-E1DB-4A8B-9E92-B089D5AC609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53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A682E52-42D1-45D7-97E1-9743AFE27AA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53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13256FF-1D74-4D5C-8391-4ACD479CE88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53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42A3A98-CB2A-4F6D-9CA1-7C13AC5E220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53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BBA8B98-308E-41AB-84A0-154D5BA79A2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53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71A699E-D696-4DE8-8153-B37B99D8E44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54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13BB496-B56D-4187-8881-D496DDB82E0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54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DD51541-F97C-481C-8691-851E8D4F649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54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6E53F01-3BC6-4E74-9449-1E96564718F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54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3955B58-F5F5-4C5A-8720-14F08A09EB7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54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EF02B1F-13B7-4B74-8DA4-D22D6F457A9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54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CE911F0-41B9-4C29-8C83-767775347C2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54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BACA099-F441-47B4-ADE2-3AE2E15C7AE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54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0B7AF62-04CD-40F4-9C48-6593272B1FA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54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DDC19A9-5B91-40AB-AC47-7E0FAA9CB9F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54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A2A968A-46E1-46B4-A5FC-7E74A3730A0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55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E999FD5-D92A-4BDB-A3E5-18ACD293E01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55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BA2F03E-0EE0-44F9-9423-8774A6BC044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55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E658871-FF8B-4C52-B3BC-14C0795BF2F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55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663B21D-FCA7-4E90-A544-8C8AE1F1A76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55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8256394-778D-4D5E-8B79-83A9F18D8EF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55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2F6E285-CD1F-482B-A487-775D1134184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55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F1835E6-CA59-426B-BA9C-D5BB36FCAE8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55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DD72B16-0BCF-4D94-AB69-13162A09965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55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27BAAD7-C747-44A1-9180-CE8E798B2F4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55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F042DAF-A660-4CE3-AEFC-0FBA83C8B01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56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0274899-CD2F-465D-B54F-A3C88CB7D7B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56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758C4DB-5851-4770-8347-8828BF4988A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56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D9C66B2-6A4C-406F-B4A0-72A6DD18F6F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56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0EDD295-F0EC-4EB3-8098-5522DC419EA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56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A7265B7-157A-40B7-9D65-B60F25C0D5C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56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AF78D28-5CE4-4432-9994-149A6A09D05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56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E22446E-667D-47E8-887E-05857FDD820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56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0D92476-5B1C-47BF-88AE-A5F43C1017D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56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110CAC7-206C-4203-960F-83B8059F1F5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56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82B8148-9440-435E-A5D3-086EC2C08DF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57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6F5976E-165F-431B-BD3E-7C86BA5C36A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57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C23AEBA-E4E2-46BC-B0A5-CB135BC6857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57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8D2E43F-5A89-4F34-91B9-EB2779A0E34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57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91796E5-EF30-4C5D-823A-2E2A38482E6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57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2DCE235-D17E-42FA-B2A0-8ED831511BC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57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976CB8A-3234-4894-960A-6AB618943D0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57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CCDD985-E321-4812-8CFC-DA1B87B6593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57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105B007-34E9-4008-B3E3-49187E7DE5A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57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EF17E7C-DE1F-4AC4-B71E-8BFFF484394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57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4109298-CB32-43D1-8250-EFBE7079BAD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58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2F0852B-4F17-4A81-9AD5-9152B51FAD6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58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3558E42-27A9-4C1C-BFA9-3EEE2F4EBDE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58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A57A173-E71E-47D6-86D7-ECA7AB41872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58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60E7854-AFE0-4045-9378-7D9C7EFFA7A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58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7C0E5F5-0222-4D33-86A8-93C52226FDF0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58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437DECB-18E9-4EA4-BF48-0F16CD09AA35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58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6856233-BFE4-45AB-91BE-2CF5C3F9CF5F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58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F655D74-4FED-4A77-BF1B-DF8ADD111106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58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B77F6F4-B652-404A-8022-D812ECD74FC3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58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CEBABE8-C261-4A64-B4F5-37D08BE13B47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59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1FC2FE6-9B99-40EC-8FC6-BD1D03CFDFAF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59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A2B56E4-823F-4197-82B9-A3CB3A2A5F72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59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F4F74CD-4406-4F32-A95D-2978DC7E012D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59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CE4CCE9-2A02-4954-AE67-5B6A554033C4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59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0D14B56-669F-4F5D-BD11-51C85DB46BE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59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97D09CD-616B-42EB-B6EA-074151EC7DB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59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2B45812-9678-4AFA-A533-D58A097C1EA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59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01409D4-1288-4C6B-B5A4-BC078D56850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59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D10066B-FB6A-4F28-82B4-ACA86CED859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59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DE65100-1921-4E9A-9D70-51B7F8B271F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0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6CB4183-2335-4F24-BE50-FE1BDDF81BF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0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01A59FB-5564-4FA7-804E-AAA01AA149D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0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E5DE49F-72BB-4AED-B85C-AA1D9CBAD39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0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89CDCC2-0ED7-4D8D-9BED-5ABAD22D13C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0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CAD3629-C008-4FB0-81CC-B0D63D3D663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0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8E70C8D-EAE6-43B3-BFB0-4F775EDD5AF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60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DA9E37A-E66D-4FDD-9812-07D208BFF8C0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60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49527A4-64A3-475A-993C-1A3C0E1FD041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60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F000334-03ED-4A61-8206-F76F6BD11BC3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60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ACCF1E5-D0BF-48D5-9FEF-906D7407A624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61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F085CF6-29B2-4529-A320-69EA77F08FE9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61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268FCE8-0D49-4DC5-BB91-A76997C054B2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61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6257D1A-E45F-4ECD-A7C6-55DA67C675DC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61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2615B12-5905-4B7D-B83C-CF23C81C233B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1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D648A77-D187-47A6-B7F2-A3F668A739D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1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5141AC7-9F84-4260-B29E-E795A94672D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1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1B0B393-01A0-40C5-8587-3B4A050CD65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1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D42B121-C7E3-48F6-97B0-57F391697E9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1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70A741F-6F8C-4088-B1BD-DACEC02A797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1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06D2852-C9E6-40CA-9EB1-3DDB5F185BF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2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AB9C261-57FA-45C6-9879-44C91E7165F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2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25E8560-721E-455B-BDBC-9A4793C7082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2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E58DFE9-047B-4543-ABC5-1AAD058D8A4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2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A5052C5-019E-4D0D-A999-3C5D6F65FEB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2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86039D3-7358-48D7-ABC8-C3FE147E8BB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2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25187DA-C45B-4D5E-9DBA-1AFF994B63A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62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FF5D46D-00C6-46EB-A34E-BDAF524FB55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62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734437D-49B9-4C30-9E87-81800C72AB8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62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DD36E83-AC8A-4424-A5D8-E67B41E3168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62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E212CD6-6B13-4723-AE24-C757EACC05E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63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1B33AA3-735E-4816-820D-66E7D746146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63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2C5EA38-4B78-4813-B8BE-6E4D478501C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63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90E0280-F19B-4F72-B655-C7567B8CEB9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63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7693B7F-BDAF-4D77-A4F2-E56EA201744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63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A092ADF-E2DA-44E2-B617-8E8736E7C22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63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086CF70-8E95-44B8-AF60-A0AAC1C318E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63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F624BCE-945C-4FE5-B744-F44939DF3EF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63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15F4C15-AD60-4BD5-AA90-F9A5D5B7892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3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9438531-C6C6-4B48-8F0C-CDEE33AF266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3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637B4B4-77A9-488F-B4E8-4BF3081D314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4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0714082-66E3-4D6D-B9C9-E1C49C1A71E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4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1606060-46E6-46C1-87A9-EB82F162386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4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B5EB19F-EB37-4813-A29E-F823F9F8616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4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18D3137-4FB1-497C-8CD3-C6AD0EF24EA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4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49B44CF-1DA3-41E8-AE59-7374EB46E44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4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F2597FC-F2F0-4804-BA66-3D0F04F03C0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4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6D919B6-54A9-4599-8FDE-20E938E1F03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4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938E579-7C05-408E-AC37-343D7EBDEBF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4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FF2EC68-F291-464A-8D26-FB5644D4727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4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91B621F-A741-4549-AF17-93B03FEDD54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65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FAF6283-E270-43B8-B333-937A91ADEE2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65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4EBE7CB-74C3-47FD-B258-D350EF8FA2C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65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BDFDEC5-68A9-4BFB-836D-ABDBFB90E70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65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7E97FA0-F3DF-413C-997D-B1782211D39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65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633BD4F-932E-406A-997A-F3B15365BC6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65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8539255-25A6-4673-83DE-E49CDC18D14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65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EBB8B88-37AB-46B5-A935-F56E242D763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65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A4030A7-B199-4625-A26E-8B43C3223AD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65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FC88872-D2DD-4C30-8E55-0982B9A3635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65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22FF249-2BAF-4E77-8833-EF657A3F8ED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66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C8979E4-7746-4A1D-A04B-2B33F1D7B23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66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A1158F8-4DD4-4000-AADF-E958934C520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6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B03CA02-9DF6-483B-A916-DB9549E8E9A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6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9390386-30C9-49A3-BB63-BCDBF6EB10D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6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D3CC29A-08F3-411D-A77A-0A07C30B42E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6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B28A1CA-1407-497B-8FC2-702CE7B91E6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6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4760E9D-A2DD-4881-BAD7-E155EAA5D5C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6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BBD64A6-1B39-4783-8660-15CB6C67C5A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6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0B05CEE-4862-4B01-9992-989055F83FB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6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6295C34-58CD-43E8-ADA7-A0C08CE0D99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7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0B613F0-40F4-4F7A-8D00-CFD2102AB63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7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3F4FC0A-E7A6-4C76-953F-FDA3C4CE393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7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92464CE-E9B6-438E-9CEC-7CC92A1DA85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7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7A13825-2820-4F36-A4C2-AE7B583BAFF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67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E2129A5-201F-4CDB-A761-35F12B800E0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67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C21FAA7-8AF0-4DD7-857B-927E6F51641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67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7361DD7-6DAA-46A3-9F72-DEE25C8D5F0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67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2A7CADC-2DBD-47ED-BA5B-92FA344EB7A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67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60FAD58-827B-4A13-89AD-10B0A1C94C8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67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057222B-5F8D-4D86-B51C-75AC6C934B1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68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2A594A7-A25E-47FD-BBE2-2DED1F05F8A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68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2B90B39-B5D3-4CCA-BA1B-573E2023653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68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19292A3-6678-40D5-BAC2-369991FBC42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68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C1E0FC7-90AE-4E99-8BC3-DDF66777F8F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68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DC516B3-34EA-4C07-81CF-EA444E89BB9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68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C648469-321F-4446-8BCD-05CDCC278DF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8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060B19B-C662-41C0-902A-63977918244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8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2589338-DB6A-4A80-B914-673AA46DD68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8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8262418-33BB-4C4B-A4FB-5F2C44D56D0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8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7BD3B19-3C11-4289-B5E3-661873F0FD1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9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A0C0EC9-5016-404D-A666-F9EBECC0CA1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9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53164BB-79EC-4648-BF80-E1466B94BAF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9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F64AED1-2F14-4375-8D52-4577FE49529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9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4AACFF9-AFD2-495B-9BE4-E55D6DF91E6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9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177A545-B2D4-4AAD-8586-A8423D422D3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9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F101D28-43AC-4FB5-A1BA-FDC2AA6DE0E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9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2A11FA3-48B0-49E6-8D6D-8757B36A0D1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69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229D79A-B4E5-41BC-8523-ED7DE14E5F7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69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34CA972-605D-4E6A-A069-19273E893FDC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69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5C0A7E1-27DF-408F-8FAF-32E46583C61D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70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BF0F543-CF41-4F10-B3B0-F88383FA3433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70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EF3A0DF-B488-4756-B38F-20AA3DD3B3A3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70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76BB5E8-07EE-42A3-99ED-4F1601415C51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70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13B9197-FD11-4F4B-86E8-A0E2AD1EDC6E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70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C0DABA6-9E6A-4950-B838-75D42D96CF15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70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AF4C4C2-B815-4D3D-84B5-3E186C84511E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70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13DDF06-07AB-4328-A43B-45BA58AFAB4A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70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B046E78-51A4-4B73-B354-DB479FF60432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70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4E7F207-1361-4E63-B74F-A7F97F0CCADD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70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F3B143A-DF6B-4DA9-AC56-7958AC8FDD22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71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84ABBA4-FFD5-4725-8AC1-7E3389C91BC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71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60F0614-05BA-4CAF-8CE1-B0EEA7EACC6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71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070B992-CE49-4E87-A440-0DB1D92CD01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71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E8BE97D-34E4-4347-B2B3-A789783C4CE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71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5ECB64D-6C50-4191-868E-407D22CDDE6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71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90A595F-5D89-41AD-A81D-503C2436719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71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5E78899-B9FF-41DC-BAC1-FBF217A66D0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71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A4D6AF4-385D-4B58-BE94-622B6CF87CE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71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B395974-238B-4403-8AF4-0E4413D4212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71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AE32ACA-90CE-41B4-9D20-8D251C3C145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72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CE41FB4-3AC0-4B41-B92C-FC0A9EFDC55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72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4520C01-E010-4E97-83E2-26022BF8A99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72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B06522F-5294-43FC-81C7-FF6655BEC3E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72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DEC6EAF-55AA-460C-A399-C991397D443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72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CD0DA57-B875-4FD2-A37D-5A4C87855ED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72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BCCC2BE-434D-4E13-826F-BCB3C993B24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72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D60431C-085D-4CE8-977D-73A80A3A863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72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01E6242-06CD-47C2-8FCF-966AEADC054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72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492DAA3-5EA1-4AD3-94E4-1435B9E2278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72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0E6A954-E239-4EB9-873D-CCE8ED963AB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73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F51BCA1-59A9-4A6C-96F9-690C7C346D6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73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A81474B-DA00-4E4A-ABEF-7ADE017469F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73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52ACAF5-9167-4CF4-876E-FA9CF317B05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73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EF35D75-40BE-43E4-B0AC-62334EB7634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73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78A8EEB-417D-494F-AA63-8A3F3C144B1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73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7EDC3BF-4F6E-40D6-A14B-7167D32B4AF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73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77EBE57-A372-48D7-ABFF-4743371EB4E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73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DCAA6D2-17BC-41B9-BBF2-EA31B664316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73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C4ACBB2-18B6-446C-A85B-20717D6FEB5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73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7729213-6932-4104-B6B4-1DE8AFF4F86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74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BAA4A53-AEE9-40CF-9B69-ACE196F76E6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74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C52826C-DEBD-4970-93AA-0D5FE90B086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74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B30CAC7-EC01-4159-B8D3-FEC3A17866B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74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175A2BD-E120-4E10-BAA3-4021E1794A3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74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98281DD-57EF-4D12-A325-9F687F15C37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74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C2D0624-7795-4AAB-9E70-1603A10D97D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74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BDA49F1-84A2-4D3F-875E-EB06936D73D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74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C01F2F7-ED73-409D-A3C1-84B23AEFFEC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74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CD9DAF8-2B73-4491-80D7-2ECDD3796B4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74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AFF4863-9DFB-4649-9AFB-360D51C15E0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75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99AE079-0C51-41CF-89B2-27C0ACC796C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75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76FAD25-4697-43A9-94E0-B14BB1C060B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75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62159CB-9908-4573-8FCA-CAF08F7995C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75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B8F4A80-B2DA-4F36-8869-FB1C63320D6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75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1E6A4C9-94EF-497B-89A4-AC651FAFB33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75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8985831-2429-4C73-8A25-12E181C0916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75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4087783-6E41-444A-A39C-D0AA533CD3E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75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A298F2B-3CF1-4A26-A89B-61130779964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75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9E421D1-AC33-4457-96A0-6555F815A52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75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4ABFAFD-6CF9-45CD-9A8E-4B8D453E911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76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C0A2C4A-6DA4-4C6D-A809-7747C9F2FF1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76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8FCF205-A437-4F9B-8548-79D25C414F8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76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8768CC8-52A9-4EBB-9313-1B6ECE7E7DC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76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EAB3BF4-F591-46B6-B044-8E97ECFFE3E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76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496D796-2B73-467F-BC1F-0B2E3C6E07D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76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1F3844E-6E55-466D-BD75-62E40A3397F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76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7E0061A-A486-4718-80AA-35893B7A59C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76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947FC0B-87FC-4395-ABB9-429EE00FEFC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76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BD2600F-5FC8-4891-9FC2-E2027D8499B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76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75C04A1-443B-481A-A2C4-DBC83E69CEB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77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420D8ED-6303-4E78-B1BB-35C3AEB3920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77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69B9C05-B33E-40FE-B403-F93B9A7161E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77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845B7A1-43EA-4CAE-98AD-76E1A520575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77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F64B986-1FA9-42B9-9412-F2A16D07DE1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77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86B32EB-497B-493D-9B46-19E69612C3F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77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8089C3C-E2DF-4A03-B773-59EBE76C8AB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77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CC083CD-AEBB-4B5F-AEB4-BCD5A4993B7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77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4487739-63E7-44F3-A918-8D118DD8228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77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55D36A9-1C10-4628-A3F5-F4A427AF4F4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77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472D7BA-C05F-43E4-8E9D-B2DBA1FDD26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78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DD97581-FBCA-4714-BC07-08653D941CE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78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3E38893-DD91-44DE-B050-FCC4CBE64BD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78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5210FE0-EACB-4EBD-A73F-A57B2A30C36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78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D33D871-4716-4513-8B3D-AE32F868EDC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78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9E41136-F87D-462E-8014-444D952A27D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78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028E245-C93A-4FA8-BF0E-4C95FFD0FFD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78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657FE1C-6CE7-47EE-A27D-157AA077BF9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78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51B2443-6A27-4A23-B02E-368767B73ED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78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0F3DD77-3311-4F47-8B19-661DA6C91ED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78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1449EBE-3349-4F76-A822-9FA5A2DF3E9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79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47499E0-EB5B-4E8A-9FFD-D39685A9221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79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A27ED15-51A2-4AB5-837D-BE84E0609BB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79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0222286-B876-4697-8A75-C0D3626A942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79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39A985B-31D9-4E9D-AE7E-B291C8BB092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79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0831449-4541-4DDB-9EDB-151FB6634D6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79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AF9883D-91D3-42CE-B27B-8A2F0624216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79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E68760C-6DB3-48FD-8622-B994032A572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79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C01EB7F-5176-4E04-A26F-89E1E2E18B0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79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F48C3EA-8063-4255-8361-5CB2ABBB600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79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CBFF584-913A-409E-AF93-BAD38116338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80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F1E1390-2967-42EF-A0A1-8050A094E45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80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FDDB49A-44BD-4256-A2BF-18CEC279331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80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A450D91-1C41-49EA-9BC9-8E0D8C902F1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80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AB539D8-2A51-4531-B02A-3EB6D3F9A23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80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1FA45B8-F3EE-413C-9793-CA2329797A2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80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F21684E-543F-41BE-9C4C-C2E69D9A953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80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F250484-CBFF-425A-9228-306832565DD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80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A3DAAAE-81D7-4F33-AE5E-EFFACB34749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80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98305B9-E49C-4EB9-996C-B75FD91A827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80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6A7C1F3-A1D0-4292-A76E-BD36B8928B2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81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B91DA48-D547-48A4-8FE6-9762FA339F7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81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BF95766-EDBF-4FCE-85D5-F89F4213B26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81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1D9AB4F-9122-49FC-B7E6-D1B0604DBD4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81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B1C7319-AF0E-4E2E-9DE5-2D1C4C15BC1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81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64D8111-15A1-4745-9EFB-1226E4A0454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81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62214E5-3CA8-441A-A8E3-557392EC499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81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96EC15C-84B9-4F3A-9202-4369B2D98AB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81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106C89B-136E-44A5-A399-9421EF0582ED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81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67556ED-629C-476E-9702-9C5483A987F9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81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B79B55E-C572-4D3E-98D3-8704FFE8FAA1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82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B293212-B4BA-46A6-A22A-FF7EEA72E9BE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82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C734985-764F-4170-9E8E-0B6764A9C5A6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82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02047B5-B7B9-43E7-8027-70DAD8F71B6C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82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F2561C3-CB5D-493D-B410-9C02A50D7D1F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82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B84814D-CE69-46D1-AB2E-4BE8BABE5E4B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82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6DC89B1-B677-4E15-98AF-B610EC26737B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82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CBFF569-79BD-4324-82EF-4D100371C187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82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FFB93E9-6C0C-44DB-A081-A8EA41D7653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82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998AD06-D4DD-48BC-A35A-73C96157A80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82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65225D9-383D-4C54-937F-544E8318C5E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83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43EC9B5-E1FE-4318-94B4-F6A8E143D4E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83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ADBFAA6-E2AB-48DF-83EC-89A2679F6DB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83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B1DAF9C-7663-40D9-AEDA-094902C6DB0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83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2B955A4-837E-4DE8-B8F8-0C0AE4D1AEE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83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1465045-003C-4E5C-98DC-DF52F2B9E89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83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99C001D-0EE5-43C0-86F7-86D3D0161DE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83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513619E-D6C3-43C0-B3FE-0B403E1D1DD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83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E1125D8-DB05-472F-AC62-03DEE6D46E6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83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8B875CA-1102-4178-A2D7-3E9A1640C6E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83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8CC991C-A107-4FEB-BCE8-7CEDD1E0BCF1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84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E91C4BC-5233-42DD-9D73-91F301E8A104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84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4BFB124-5CD5-45E3-A9D7-158C83A80363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84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B389061-446B-4695-B3BE-3FA8992BC978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84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D0E865E-ABB6-47F4-8687-7C6E353991DC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84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A2E83A2-F6D3-499D-BFA8-4214BC148154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84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4830FC7-C133-471C-A7AA-4DA827438B47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84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4943E90-FCD0-4F44-BAEB-583BD17C1190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84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9E87ACB-A2AB-43CB-A1D4-A9242BF2AA9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84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89720CF-3C6C-4D45-A588-B753DCD8C65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84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6F425DD-417E-4493-9B9C-67333B9AA0D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85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7ED09E3-149E-44B8-AE21-835404F3F9E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85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2828542-E15C-4B69-9B19-9B0CC85C37D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85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58A0404-5415-4059-8A6A-AEAA5C9CEBF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85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B32FCA3-AAA7-41F3-8E04-2DD51457164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85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793F511-51BB-4820-AC3D-ABB14FA0DAF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85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A01CD5D-7436-4D68-8227-14981589A2E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85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84D089A-EF6F-4098-A7A9-FDE77310D98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85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F06ECD2-173C-4724-B3B1-095ED571C8B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85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375ADAB-7B58-40B6-8F39-111CAE24561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85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4768361-C358-4BAB-982C-FAF25A4443B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86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87A4211-E4F4-4711-AC7E-B1CE5DC374C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86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B6BE18B-6E41-4A46-8BE7-F9EF18A3315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86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E059F74-AF5D-4614-B406-6DF6CFBF289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86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159B930-792F-4A04-8711-07C86CDC9B0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86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DEF3F1A-9A3D-4421-A3BF-C06C91A4DDF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86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2A4159E-BF6C-4528-9961-66CCBC36F87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86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88B3178-68BF-4259-8484-1D46E5D8644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86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B5392E5-AD74-40F4-BB64-D0B21486AE8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86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0912278-48BB-4EF1-90CF-977698D041E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86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7D0476F-FA8C-44D7-82EF-86A1E754B5E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87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3B5A2F6-BF01-456F-A577-AB123E5C224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87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A497A8C-5AD5-4CBF-B73F-21FDD2D1F83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87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4DF4F85-B951-49E8-B16D-A7F88A02944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87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A93CBF4-9969-4D9D-9559-0E1006B2CE7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87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E79BF82-8482-419A-8C8B-4D9414D550C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87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989144F-4A18-420E-BE7F-87414E76F34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87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DA4C196-521A-4145-AE2E-1D775F4658F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87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D440CCA-47C1-49CF-884A-C4A45B305EB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87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8A0E7CD-14FE-4C87-8058-FE93672BAC6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87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F8B1A2A-4483-49CA-8636-E380645457F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88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0B3F5F1-919B-4E5E-A5C1-55564FB8346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88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EC6207F-25A6-4B6B-8B41-0DF3259D8B3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88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4AD0C56-419A-4FEE-B5F3-95BCB3E7637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88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DA6C14D-B67F-4C56-8B9F-E7296BF79A4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88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47D5460-5530-43A0-8E60-A26DF1D3880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88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0D03BDB-CAF8-40B6-92B1-74893351DB9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88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20EE0EB-28F5-49A2-BFAF-33CEB21CEFA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88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762CF79-54EA-455A-B7B7-DBF14112409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88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497E6F5-5D4F-47D4-9655-7523F4B4D05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88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6CEC6DF-258D-4585-9DFC-70935A2A1E8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89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0E61F1A-64D0-4A2B-B3F4-80A04A03B9D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89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DB75F8B-5B2F-478B-A9E9-4B0BDE0B8B8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89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291F708-95A9-42D6-942B-FE6C98248B5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89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DF3F7C1-AE8C-4BEC-852A-3351939EE19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89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722B4CA-9A63-4089-BFFC-C2995771D7A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89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A471775-4460-49C5-8C5F-BF4E1661CB9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89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5DFB109-D1A1-4BDB-8258-91C525B33B1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89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C5526C6-0A36-456A-BA6C-4736FCF06B2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89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F1DBB7F-26E9-4DC7-9CC8-735132630EB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89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3E0190B-3F53-4B4F-A83E-24C80E64C36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90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4B72C9A-DF6D-40FE-98F9-5A7CE8E0ED0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90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917B7D8-7904-492D-A63C-4332619B63E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90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B5879A9-FB60-4664-AA59-4BA7C8BCE08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90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2ACE733-CF39-47AC-B897-88E52E5F744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90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8053C4D-34F2-44BC-BE72-E069E8E1F79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90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02D9C6D-1B0A-461B-A19B-22EB112FB09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90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C2F90EA-AEEA-4603-AA61-26F3E89638E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90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E5B71B9-6D0B-4D75-B0C8-E4BD434CC7E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90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1E98256-A7EC-4C5A-8E16-D3402584BB4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90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CEF1E90-6876-4C51-9679-9C571F0FA9A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91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2F06BFE-2E51-4DBA-B5F9-D431C8D2453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91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2DE02D2-2E40-4069-AAAD-3159A51B36C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91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50BEB85-EAFF-4C52-A20C-94D3FABFB5E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91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9B4422D-900B-4998-82FE-861D739D9DE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91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3991AF9-B4B4-4F1C-AE54-48CBBDCA92A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91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AE96DCD-2E06-4EFC-9763-4FB8E951243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91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0B6F9C6-9888-4341-95FF-86D21CBFA97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91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C1B0607-0393-43AD-985A-05BDE9AEA72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91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F2394EB-AEE2-41B0-9DCA-096C1CABE27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91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7DE3016-5612-4608-A600-B5E8EEE1A83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92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1E4B2D5-59B6-46B8-AF8F-F8864AEABDA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92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3B3E347-2F00-454A-9EB7-F90FE0CB268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92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F841F7F-3413-4186-BC13-ACC6FE17956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92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1F02541-741C-47B3-A7BE-F73A67ED17F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92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2782439-FEF6-44C2-97DA-2596945676B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92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DCF3947-3F21-4C38-9CF3-929C867B2E6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92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937FBA9-5CBF-4365-998A-720F0751F2C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92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1629AD2-A3E5-48AD-9E6D-DA71422C731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92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259846E-26C9-4F14-B3E7-3AD9696BAF1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92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C451B65-032F-4E82-9558-6023925B838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93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B17877B-0762-4F0E-99EB-4178EABAAFE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93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1A0F386-F21C-4962-A22E-2499670FCE2C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93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1E26615-98F4-4625-A049-73175C159957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93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7471888-817D-407C-89F0-1945F8DC19B7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93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65F53B9-D539-44E5-9FCF-17DF18AC4ABB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93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5D7723F-D449-4CD1-A04B-5FCDAF55818A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93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6144ED6-D6CA-4108-BAF8-3D8C4CF542DB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93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2D3261F-BAF9-4010-84D6-C590982A9E40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93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6CD56E9-72E7-49E2-9865-3584CA8895B3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93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60E05A8-C89C-49C9-961E-80BEE460748A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94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4ADC7B8-1856-4FDB-B41E-9E68C8601EF6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94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3E042E0-83D6-4FFE-ADA9-2F284B44C79E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94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B661679-F787-4FEA-8076-05963A4FD79C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94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AA96B3B-727B-4F1B-A4C4-69C29AFA320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94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1589D66-BAD7-4E48-ACE8-F220E3B88CA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94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21FD95F-9147-4510-AF37-9131360F859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94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152E387-AC05-4A8D-82DF-443BA214700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94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EEB079F-0410-429B-B4F3-A61B70E5583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94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3D8B2E9-8ADA-4A8E-8246-84A8AC956A2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94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B7B99C2-0A59-45D1-9D82-3109826F921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95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51C35D6-3B14-4610-A41D-E304B3AFC71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95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6EACB83-38A1-44B7-B350-C8EB8FC0F49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95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7DD5288-0FAF-495D-AF12-A1C64D43D75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95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BABB67F-BE65-40C5-92C7-54E76EB1F34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95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E4E60C3-57E0-41FD-9953-8C6F7521193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95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2903314-861D-4AD5-B511-6B4D2C5053F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95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3D40B2A-1041-4D43-8E80-A4AD9123BA7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95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16F6AAD-1E97-4A02-A1F6-D185EAFD4DD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95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753356D-B122-4D9F-96CF-FF71F061FC2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95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6A43910-F1A4-494D-8555-2DDCB596FD8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96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419EC5C-20F2-4A29-BB74-DA49F0BA90B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96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19D53FB-65AD-4433-95E4-3D4C066834B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96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91638B7-66AA-4734-BA70-E8CCF1F9BD4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96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69CEEB7-EDC0-4833-8BDD-100464AFA0E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96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2E326A3-6A2A-47F0-A9F0-D8642451288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96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4BA8623-9072-4C2F-BCFC-A79FA393632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96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2530DE0-E0B3-49AA-B382-79AE57D3213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96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0F184C6-A73C-4F2D-9AAB-84C098E4FE0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96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2745CD9-F4DB-4DCC-B346-0E3A323F3D9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96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C6F474D-CDB1-48F5-9DD7-5E9C016A461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97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EDADCC8-98D5-463B-9048-00D4EBFA9F8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97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76CE647-D941-4B65-A941-38235F3C6EE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97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1FF2A92-44BE-43B3-85B5-B2E3F551D93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97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CE91BEA-2C10-4B6B-8FDE-98B3AA001E6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97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916164C-7404-465E-91AF-44066E9A1F9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97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41AB2A0-E72F-4A00-BEE7-D5E30DD1DED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97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206602E-62C0-4718-9D31-C6E3D0A6FAB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97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9B469E7-7876-4A5F-804B-CD0091A8A25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97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2AA8C49-0770-4091-9F0F-ADBB674D3A7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97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A27BF00-178B-4985-B83D-396314A1C30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98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2E23E7C-D826-4583-AFDE-91ECCA4616E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98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2036D49-4525-46BB-B728-BF6E03AFDBC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98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78DA1DA-FE7A-4E96-88E7-28980C00540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98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90B1421-BAC7-4F9D-A7C9-AEF1E642D1A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98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C3F8700-1015-4D1B-9F41-73AEBED8811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98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80987DE-D6AC-4499-8EE2-0010F7D3740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98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0A11FAE-6462-4AA4-A658-E4387E26C48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98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9573EB2-20A1-44EA-B04C-1CDC1FCDBF2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98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7F8B2EA-914F-43F3-9B12-5BAFBA86F7F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98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C85B27D-6DB1-436E-9F74-7A24ECC74C1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99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BB17856-06DD-487D-9BC3-1DCA8A66D38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99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E7A4765-896F-4578-B219-FE940AA88F1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99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4A86F8F-AB3F-4E4C-AB99-16D28E4CE6F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99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0B0CE29-190E-46AF-9446-8B0CAA7E8E6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99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45B4741-C4A7-472D-B381-A8371C2A7DA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99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AB5F41C-58E1-459B-BB60-0D25C251105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99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5356F13-91F4-4CF1-96AF-EE4944984CF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99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B9EAC8A-03FB-453C-9973-7E9402E576D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99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0014DD2-1C8E-4FF9-9245-94E9438BDBD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99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248746F-E0F9-4D03-ACED-7F08BD93A7E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00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292EB33-7C01-4EFC-86F2-FDF5789EB8C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00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F0243B2-38AD-4186-99AC-268731E53FE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00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9D33990-4C23-4691-8C8B-CB7B490132B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00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1EB4873-82E0-407D-9912-9758F25118C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00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25495F7-34FE-48BB-91AC-60F7BB1C302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00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2694AE8-97E6-4547-A742-23C3F6E0E3B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00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4A86D2F-3DD2-44B0-9E49-0ACAADDAEA4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00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16CBC9D-1701-45A0-8454-D4C03FD9634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00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98E0AC9-9F1E-4105-B507-7C4BD1C7103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00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F4BCDF3-6FEB-453B-BC30-AD79C016E95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01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5EC58A8-1B5E-474D-A686-A1C2F81630F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01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198BAC9-589F-4606-9345-EB521FC23D1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01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12DA796-524E-4D2B-AECB-7BCD782EDC3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01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D280BE9-47B8-4CBB-8E88-1CDBB3800FC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01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270963B-F6AE-4A47-9834-F10C34F0D09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01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04F852F-7AE2-4C48-BE9A-66BCE0233BA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01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F4AFC48-916E-460E-9455-337A76AC6E5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01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B275D36-2B31-406E-B932-6FC6BB85702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01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D6A1EE5-E409-4496-B79D-E2AA082686B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01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39271D5-CE4D-4FED-AA34-D6376ABCE34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02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3B62C13-3A61-4C0C-BD39-C1CAB3293E7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02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5715F81-047E-4ECD-832E-16FB79E08F8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02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7604B65-2B66-46C9-AE19-73CE1594523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02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A5D1DF0-8480-4EF3-B995-9C10E146165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02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4E9CAE5-A127-4C2C-B2BD-9FD6B6B249F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02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47752D9-7E98-408C-BDF2-886463FA9A3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02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C5AC906-6B9A-41C2-AB74-DA4C72B3CA3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02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C3B75CE-831C-42C7-BCDC-BAD7564F5E0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02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D5B1124-481C-4E1F-AF27-14DCDF977A9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02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A10B8D8-8532-4221-90F9-A47F5F633BE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03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5213F66-C82B-4968-9B38-7B7BF0B4FF0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03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EED327C-37D4-41A2-920D-65249A612C0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03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4BCF594-1705-4CDF-9722-75377139C2E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03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E91CBB7-EE05-4DAD-B6AD-C7765EB746F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03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95CB2B8-FA92-458D-B2B8-289BC891DA7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03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A5FF6A0-B672-485B-8FFF-EA91E6DD2AD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03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65C5604-9789-454F-B60C-ECDC5E0C7B3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03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C469897-6FD9-4646-AD10-9AFA62B8AAE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03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9786570-1B48-43B4-8DA5-FB329B3E1AA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103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C7DF6F2-5F05-4D2C-86C1-9641440D70B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104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09F81C3-2164-4ECC-8B7D-3E236AFF330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104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F3B3FC1-AE06-425A-B2DA-4967B2D032B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104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D501BCE-4C44-43B1-B49D-1E7B1F8A77B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104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8B8DB27-EF6A-422E-BF93-F5ED866B207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104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C60645A-C57C-44C2-9543-62702C1A997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104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E7A2F77-0710-4E80-8732-DC4F0F0671F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104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D509360-D585-4E87-AAE2-BB62D5132CC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104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FB53487-29A7-4E86-B21D-8D7E7D82528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104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8699265-1552-4569-96B1-C836B14CCB9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104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1931DC2-BB21-4492-8924-BD245BE7A15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105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3AA736B-63A0-4D23-801C-4965FD7E47AC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105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0626792-85D5-4352-B922-435258D1A640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105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662B37E-4862-4A67-9269-44B28B7F51B9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105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A342314-38BE-43CE-AA81-306895AA4B36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105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BB2C9AA-61A6-4A78-B0C7-3E6278E87A4A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105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21CC8B0-BC2A-4323-8485-C6C845AC6BE4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105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04F3FCE-BE49-4C31-9265-70D021FEF100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105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7132949-C854-4D73-8F23-368EF0AB4CCA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105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5264056-129F-499A-A7AE-1CC89F2E899B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105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37F6F9E-2104-4AA2-87B2-5F7E69755E71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06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E2ADD22-9D02-43CF-9DCD-E1F84A59F5C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06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E5651CE-5E59-42D8-AE5D-A7F54C6DF0B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06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B7E55C7-B972-4AA4-9707-B47CAD9EF69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06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AB99AC6-0FBB-4855-81D8-0FFD0FCA159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06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E0AEFFB-FB01-4040-9037-6B8F4568AF1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06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480BD21-491E-4BBD-AEF0-56B25B4874E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06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AC6881A-FD9D-41CD-BB15-CCA4831B055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06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8C7AA60-BA24-4D5C-9236-7A3E53479BE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06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EFC078B-A9FB-4E3F-A804-DF6E3CB44CA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06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50EBFE8-D935-40B2-B021-374D497029A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07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0904B69-5D66-42C7-88D7-823CC680F85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07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D4F90BE-FCEE-4B54-A8C5-B3471511166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107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5EDB6CC-D609-4328-8E28-E3F8DF6DD1B7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107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D86F4E3-233D-436F-BEC5-F3D47F05D4FB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107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EA5EF4B-11FB-406E-9275-84A534E4E984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107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B58A3BD-ED94-4AB1-9E3C-AEFD7B37B155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107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7CD244E-B6EE-4B14-BE57-62C604C422E4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107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1DA56F6-2036-4D40-816F-B74567A8ADA8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107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1953ED5-6B9C-48B8-A5DD-B52D9C900096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107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3D51F5D-5C71-40DE-84F4-6C06FA1444C4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08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4A80744-5FDB-480F-8120-48A2884347A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08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30893A7-75B9-48E6-855E-CEE5A0611DC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08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DA20B45-2E1D-470E-8123-624C4B954F9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08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D8DEB53-E096-4BA5-8AE5-5B76776E83B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08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689B748-2C4F-4C89-AAB1-1C7086927DD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08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0E0AB48-F737-47F9-8935-ECA68233D6C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08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4B00F42-943A-46EF-994D-1AB0A9D19C4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08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FEE8F2A-73D6-41D4-8227-5E30C61A264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08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A74228E-6883-4FE9-960C-F2FEF2CE082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08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EE7112A-E329-4FCF-B3CA-3A64D69EABC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09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15ADC71-2094-4B43-A3B3-2D4E83CAEE6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09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7BB45EC-E178-4479-819B-7A7D6E899FC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09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8292BB9-235D-4416-9C46-60C423CAC26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09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9391FC9-D11D-4EE0-A7F9-898B4090C87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09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56A51B4-236E-45D3-9D30-209FB1A2991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09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2B2F175-7161-4C9B-B9C4-B5FC6F89799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09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7E9E76E-62F7-4F01-A446-B21F6C6F6A1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09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E183575-0BEB-4338-8EC9-8400DC6846E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09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0E24C4B-B65A-4559-82F8-92A211960A6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09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20C3A99-DEB8-4C1B-9E21-DF4B84D72F3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10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6E24675-42AA-4996-8AC4-9A2AA7CDDB1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10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D310DD2-DB5A-4DCE-8299-C8DB82D016C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10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E004FBB-57A3-42D0-9B12-39E8F36D0DB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10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0B6FDE6-C0D4-450D-B909-C702BF32D22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10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C150721-FB41-44C6-9A99-A884C2BA090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10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31C47B1-9252-4F6A-B5A0-F444413DB5B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10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B4481D8-D9C7-455C-AC2A-9E5CB2F9A16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10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1660707-C45C-4F85-96CC-28CF74215EF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10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F08D407-C24C-4EE8-B248-2FE323E5081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10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A36F61F-F6D3-4DB4-BEC3-CF1F35308FD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11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32A064E-7AFD-423A-BE1B-03D4E5FA994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11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EA95656-D3C3-45BE-9057-225F667C294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11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F86A543-5034-4506-804D-CF2811B52B2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11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32A3A9E-566D-483D-8787-67701490EB0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11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EC76E5D-2B33-48D0-BA2E-07086226BB6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11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709C2EA-9440-4469-8012-FCC1C054664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11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EE861D7-6AD3-42E9-8A20-4AB1376B192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11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A5A4675-824F-40D2-B9AD-DAAEEC5AF26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11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B8ECB59-BAD7-41A6-B23A-9964FB151FD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11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336F71A-CDAB-4D46-AF98-890B73FD14F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12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DD0B6C7-180F-4F07-8AB9-FC4E23A96A2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12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39E3EA3-EC50-45D8-8B5D-1249AD129EB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12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99721FB-43A5-42B5-947B-E001A976A72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12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48E908D-4051-4117-9217-AC1AFA53D38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12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68BDE6B-39FB-4D0D-AF76-D009B79BB93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12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C48C9D5-3BF1-49A6-9070-F17751035AA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12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ED25131-3F73-4CF2-B404-25761491995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12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2D5DCC1-69EA-4110-9017-E898162C76C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12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0509243-A3AD-4260-8494-12A7FC77D2A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12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CE9FAAC-3C9D-4844-A120-BAE239AB269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13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0CF0451-242B-480F-9E58-ACD845F82D5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13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4055DB3-CD1C-459D-8986-4B4EA4CDCEF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13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56A3CD2-6E51-462C-BCC5-4DFF7B2B723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13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CBE9E3D-8782-443F-9542-2F9A7388A34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13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91C1EEE-80A3-4FA7-B948-F3A362AEF6B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13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74447D2-5B2C-48DD-BC89-E3C2E8E6E30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13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CBAB214-8889-47CE-84D8-AF85343D8C9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13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CCD334C-5015-4E35-ACB4-6B596C3ED68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13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EAEADC3-F3FE-4CF4-A1F0-E762FA2773B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13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DAD51D9-18FB-4FDB-87E7-9CC178EC766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14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C3CDF70-84BE-4EE1-8AD8-32D2B4A6ABE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14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80BC59F-80D1-493A-85A0-CEDCA6DB07D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14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EB85201-8146-4A77-83AD-71ED9BFA818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14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11901B6-07E7-4F1A-B2B0-EB0BE4B01FF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14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FFA26BE-07C3-42E5-B7AF-47FC999B1E5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14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375DF92-AAF6-43DF-B31D-5297287E2A7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14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FB8056C-000C-4C10-894D-A38808CEED1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14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78F7665-4159-45F5-9219-2F940FA4381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14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0B7169A-E076-4185-A832-B939AE1677A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14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35842CB-AFEB-44A8-9EDE-8D68FBEE1F3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15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57AC316-DE00-4C8A-A497-E8424EB97A5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15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5C3D8B8-D6EA-4082-8D75-7E03AF35586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15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183A989-8664-42D9-880A-349B38EB8C2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15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A8D7975-D98C-4D5F-8E1E-9ECBA9B2A6B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15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98AE547-9522-4142-9BEF-44CB0FF8D6B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15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4ABA6F1-8D18-4CB5-B601-AC9EB77DE88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15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61C50BF-D593-45D8-8FF6-1EC95ED1FCD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15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8EB8337-E87E-45FD-9D17-E28587F0C0B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15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40A9034-7113-4A25-A584-41DD279722E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15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F67C60F-145D-4CBB-A061-A8FE6CDBF32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16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CF99232-679E-48D3-B060-7D0C550AD9A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16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317D353-836A-42DB-82C8-7FC462C4A5E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16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6EF5319-D73C-4A30-9616-B29D8EFD065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16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1D45FB5-DEC2-410B-A90F-7A3197EEDD6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16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7421E58-1452-4709-A26A-319538078936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16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6D4A351-B4DD-477D-A542-1D6E8FD5015E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16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B6451C1-867D-4D7D-B130-A50E05DAFD99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16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B519EE7-2EA8-4295-811D-F4BF2A572E97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16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E9769FC-B74B-4FD7-A095-DA72A81C9C64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16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4759FC0-BEAE-45C3-8D26-210905BB4DF9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17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656C35B-1FC9-45CA-ACFA-9E4394969902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17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DCBD32E-8BD3-48AB-877A-9B85D2199DDD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17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61E0D22-0831-45E1-B85A-2FCC62537841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17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2A383D7-71F8-4502-BD30-382034BB5ED1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17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5137886-9167-435C-B42C-487214695653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17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98EAC1B-A1B4-4C1E-8294-E49E704C9594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17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A3A0EFD-7B6B-4665-B40E-72F54A07553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17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8680D08-8E20-4A38-AB5E-9FE09F4CF1E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17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A412689-FDEC-49CE-A663-90B3E89FC40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17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4A7AA59-6A6D-4839-9F28-D6FB399A8BF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18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6F11A9E-C3D0-4C75-AFB1-6501126D858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18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2D3FD9A-CC90-469A-86C0-41001FCDBA2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18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0044FC2-0079-48E5-97C7-97D6857C59E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18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F102BCB-9856-4F92-B56C-1BF7FACB6E9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18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CBD2BB0-10F1-480B-9952-CC2CC85B512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18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F87DFA8-5309-4022-86E9-8BA40679E31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18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05BDA6B-ED1F-4CD5-9627-257CDCE23EC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18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A8B82BB-29C1-4141-9B0B-D779DD812AC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18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3ACDE63-61F7-4404-8042-4C149705E6B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18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90643AC-A458-4692-AA2C-CE98107FA7A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19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8BB8B5B-6B3C-4C75-9959-C2313D6CB60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19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3368797-6081-4748-9516-11891504963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19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9B41984-A391-487E-926A-53377E5C025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19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C090D28-67FA-424A-8CAF-22ED32188B7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19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DEC3E4A-2691-4542-8D1B-3540C3DA7E6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19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64EA656-1753-4DAF-897A-5786F9C6DCD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19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32236DC-1E5F-49D8-86D1-CBF41280805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19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3D65484-C3D6-4CDA-AF7D-C45E3BC1C03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19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8EC98B6-8C0D-49B7-B807-8D57A7E4706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19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3EC5769-25EB-437B-95CC-33215A9EE5F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20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E2F749D-9AE6-4080-86F8-B51ECD830B1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20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CB487FB-7FCB-485E-8162-AD021130E08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20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0FD1EF1-F13B-4F44-8891-35629E0C846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20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DE4C76B-8B6B-40E3-ABCA-0FBBAA07CE7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20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448CBE2-8DC3-4694-B8CD-C2300197A27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20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EEB862D-1756-4A51-A883-87D38FCA6A0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20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9B0ABB7-BC72-4152-A6A4-B4B5D73449B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20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D85E339-B46A-42A0-9E3B-C8D1B136F2A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20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051FD8C-0AA1-4139-BFE8-EC66ED1FF00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20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83D15AB-D77D-4AFA-963B-170B87779E7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21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F9306E6-055A-47FD-A90B-5064258D8D6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21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39B1A37-0706-409D-B065-8702132B4EE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21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22B996B-E0C6-49B9-B684-F9D4E7E2A10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21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1A9B9B4-6266-47E2-B504-E5E445A7FC8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21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02DBD8E-1DFC-4810-A68A-CB9E8841E8B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21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7060CCD-729A-4A2D-AB4C-394FEE49A80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21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3BE4C92-D90D-40B9-949A-408E42647F6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21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FED48F6-7963-44EC-9C6D-76563878526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21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5180DEB-F13B-4DD3-BD2B-C68A7B039EF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21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89F4B5D-6E38-42C4-8034-3CD4DF8E695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22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D0B69E6-CB4C-42F9-A3A8-B6828526F7F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22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AE4E4F8-BBB3-41F8-98C8-4567DA3854A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22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5B1793D-BE41-4030-B86F-32A709DE743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22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EBD8311-9809-4283-91EB-F36AC7264F8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22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4EF936F-991D-4744-8A61-F0601F276BE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22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52BBD1D-8357-4EFD-A567-0866EC58113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22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51A9744-EA67-4149-9673-747D9C6719E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22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1117C25-6CB7-4844-BF21-1DF9E9702BB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22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0892B65-9544-412B-B0D0-8143A60D656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22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53551CF-10C8-4C5A-8F34-F6E0C8925A3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23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11E1DD3-DAC4-445C-B017-EED0191A686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23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81A7654-6653-4EA5-95A8-AC566C8B94B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23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01972FE-A0D4-4E35-BFDA-B8A28EF50FF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23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24B186A-5D21-475B-91C5-E24682FC9EC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23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3C403C1-CF13-48E1-A6D1-853D4A225E9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23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B07D786-B024-45AD-8F27-9B656EFF131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622300</xdr:rowOff>
    </xdr:to>
    <xdr:sp macro="" textlink="">
      <xdr:nvSpPr>
        <xdr:cNvPr id="123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D327053-D137-48AE-8420-235AE6269AA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622300</xdr:rowOff>
    </xdr:to>
    <xdr:sp macro="" textlink="">
      <xdr:nvSpPr>
        <xdr:cNvPr id="123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8123E55-4A37-43F3-B135-FE3D5D6F5F0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622300</xdr:rowOff>
    </xdr:to>
    <xdr:sp macro="" textlink="">
      <xdr:nvSpPr>
        <xdr:cNvPr id="123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78CAACB-3C14-4833-8DFC-0F48DF71797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622300</xdr:rowOff>
    </xdr:to>
    <xdr:sp macro="" textlink="">
      <xdr:nvSpPr>
        <xdr:cNvPr id="123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5B39C23-D93F-4587-ADCD-9C94A9B22E7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622300</xdr:rowOff>
    </xdr:to>
    <xdr:sp macro="" textlink="">
      <xdr:nvSpPr>
        <xdr:cNvPr id="124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92E53DD-51D6-4246-A3F8-C6E60C5686E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622300</xdr:rowOff>
    </xdr:to>
    <xdr:sp macro="" textlink="">
      <xdr:nvSpPr>
        <xdr:cNvPr id="124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48AB996-0985-4F58-9D27-22AAD257F0C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622300</xdr:rowOff>
    </xdr:to>
    <xdr:sp macro="" textlink="">
      <xdr:nvSpPr>
        <xdr:cNvPr id="124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37ADE5F-797C-44A2-940F-5A2621CEA07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622300</xdr:rowOff>
    </xdr:to>
    <xdr:sp macro="" textlink="">
      <xdr:nvSpPr>
        <xdr:cNvPr id="124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8C1F61A-E239-453B-BBE6-808234AB971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622300</xdr:rowOff>
    </xdr:to>
    <xdr:sp macro="" textlink="">
      <xdr:nvSpPr>
        <xdr:cNvPr id="124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3CA0E79-327B-4727-B6DE-F2A84726BE8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622300</xdr:rowOff>
    </xdr:to>
    <xdr:sp macro="" textlink="">
      <xdr:nvSpPr>
        <xdr:cNvPr id="124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3581A9D-0F4A-442F-B59A-8FB316DC5CF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622300</xdr:rowOff>
    </xdr:to>
    <xdr:sp macro="" textlink="">
      <xdr:nvSpPr>
        <xdr:cNvPr id="124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38CDAE5-8026-4599-9466-72E1943A6A6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622300</xdr:rowOff>
    </xdr:to>
    <xdr:sp macro="" textlink="">
      <xdr:nvSpPr>
        <xdr:cNvPr id="124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E03DA09-7CDF-4011-9763-4E6B06A936A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24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C994CF2-5CD6-4A35-BA30-7DE0225E560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24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2F82EB7-1A6E-4A8F-9494-062A0DAA9E0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25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11B3A1B-98F6-469E-A08C-1348C54F9FF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25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A8A1CFB-4821-4F97-BBFE-50B91DD9FDC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25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B1DD007-CBE3-4E0F-A400-1E5BA2E9F81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25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8D65A4F-E032-42ED-BE35-76A5A3A205C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25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37ECAEC-4AF6-45EE-A8BD-01258B435BD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25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2ECE0A7-F227-4C4A-AF77-D44AE180761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25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4D7EBD1-DDAB-4E58-A1FD-2DDA92FC68E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25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C537891-AC49-4E6D-83BF-299C5F79D81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25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FC4CA6D-88A6-4856-A7B4-46FC072D286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25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6F7FCB1-83F8-421F-AE41-7B935C1142B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26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608AEE2-33AC-40DE-8856-7F2CEAD98F6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26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C21B343-A8B7-42DC-8BBE-892EFECBBF8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26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884487B-78EA-4F2A-8B8D-9AC0B48CB84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26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31B68D3-8D7F-4D14-8DBD-473A3203674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26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CBA27EC-8AB0-4D72-A0DC-EF1D90B93E7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26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DCD4251-108C-4C92-A39E-DBF4D57E899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26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FA781BA-7D2C-44A7-928B-F22414F1165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26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9CF870C-2EF4-4CD8-952B-3DFDC28B3C4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26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4740240-CD9F-4B4B-9CF6-EDF29734056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26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7599DA9-14B6-46D7-9A55-BDC14A6A78D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27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6F6AAEB-3F26-4118-8D1F-3DE8DF4CAB2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27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CA22156-CC1D-4C12-8E90-1516493040C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127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1451000-E347-4411-A4FD-EBF4C4161D4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127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642858B-1B38-4545-ADF5-7ED6577F0EC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127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CA5AD52-0E76-40CF-A679-F3DEC98DE29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127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3CAF9D6-2723-4A06-A00B-07CF89D7AF9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127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7B83B2D-07DB-4A8A-B101-685EA7B2B74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127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D7E7755-713F-40D3-A064-7107EB935A6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127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C91FF65-80DD-4CB2-8782-6BB0C3F2BED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127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17B629E-3521-48E5-B699-D38C2280D4E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128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D2194E1-8BA5-451D-A612-0B04513B1BC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128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2DB4B65-154E-4FA7-93BA-C43E09DE880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128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8A4F1D2-B7FE-4918-B7A8-3C65662C6AF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128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C90BAA7-FAB0-48B5-910C-F9C2366A589E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128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42862C8-8555-423A-ADFD-782625BD70EB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128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7AB2EEC-24B9-4E96-92CF-E4EC7B2F9E5D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128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FB61128-1B48-4AC3-B8A9-DA0F80498AE1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128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976A312-4146-421E-BFD8-FA5B0F5BE412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128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145A4E2-A2FB-4510-B7E0-0071F2ADC715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128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3CB37FF-F791-4A78-BE95-790C37A7656A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129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B44675E-F2F7-4FB6-A986-E6D30713A23F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129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7D6CC76-710A-4625-9650-12C8622D6E95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129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DB759B7-3790-4A79-B11D-7573EA20F86B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29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8BC3295-173E-4C5D-A1D8-1D65E343E7C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29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3E0835F-ED94-4C68-B48D-CCDAA788223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29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5B60F98-7E5A-4CE7-82D5-81A32C0E2BE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29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9A5F478-153B-446B-8E29-8E2B4B1CE95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29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42DB330-432A-4DE3-B4F2-FEC04DB1E3B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29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87B0EA6-343F-4343-B354-66E6B9925C3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29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7ECEECD-AD2D-4AA5-B3A6-9028123DBF9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0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2B8DDF5-98EC-4764-8A6A-1717C98323B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0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7797239-0FA6-4AA7-B3DF-BCB3843DE5F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0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0569514-3F5E-4D33-8ECB-A81DDBD70F7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0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AD4475F-6DA9-4AD9-8E90-F2B52B3FC9F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0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E22DE3A-CE48-4000-B94E-0CE94034537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130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78006C3-CCBF-440F-AC07-D1C49F05A208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130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AD9295F-AD19-428A-A98F-4D568691A610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130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EC1945E-9D23-445D-8FFD-FE0B6668D5B3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130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575A2C7-1840-4A3E-BAC2-3B833383B5E4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130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AB018E9-9F85-4F61-BB67-4F2852533F87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131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482C32A-E848-444D-B5D8-27730EF14AD9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131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6A54931-1C7C-4E5E-AD37-58DB63FF0CB9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131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C016C4D-33F2-4941-A714-7EEB1AB076FF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1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C3C6484-A836-4C90-A683-A35DF6695ED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1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AFF41A1-7004-458C-BA03-7E8C6629F02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1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8CF65D6-B6FF-46EC-955D-AF7BD951FCF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1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E2F47EF-4653-4B82-872A-AFCDCE13DED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1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CC852AA-078B-42AF-996A-6E3E843BA49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1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425F4F0-DA91-4DE2-9E18-5D6B5F85B7C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1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2D464DA-9F7A-4D78-8361-22037030828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2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9B84CF7-166B-466A-9257-90C157E76F5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2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F652736-AE98-41E9-9E36-CF550880805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2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89A6D87-7733-4018-AB70-1CC52512C04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2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4583C98-BBA7-457B-B42D-64E389FBA46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2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CD956DF-B6D4-41F3-8AEC-25CD71137F1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32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BB98F16-B35F-499C-BBFC-778A30909C2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32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50B6BE7-42FF-40F9-8044-8D70F102CD1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32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BF50507-68FC-491C-9C60-D8EC691B29F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32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7D53426-999D-4E48-8091-0F0D07159DD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32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2B166EF-3D85-4F33-9461-7A7A1097077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33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CAE6AB9-C8CA-47A4-A147-D9B2318DF25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33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0744D11-9684-4B79-A3D9-BC80B8A8DD0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33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3BADAC2-0179-4104-B210-D03EBFFA4A2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33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49B0789-46BD-41CC-BC6B-67A3677ADEB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33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AEA1D53-ECB2-4F19-A575-2C6CB0DDB3B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33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E62ECCE-3BAB-4140-8277-D860C2362DF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33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B190E8C-995F-4388-8E2C-8AC00392162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3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021E01D-9E5F-48D3-8603-D183A9243E3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3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868C1F7-9845-4784-B75B-611CB17AE92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3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E59ABFC-EFB2-4C09-97F6-FF42E7D6B0B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4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36DBA68-7370-4463-95D1-6399CF69477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4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EDC80D4-5A3D-4568-910E-317572F6C2A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4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D6CE542-B505-4626-9C9B-21CBDE04518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4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C692E17-4318-467C-8F8C-A2E0E3DD071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4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76085FD-EB3A-4F8F-862D-816CFB604BE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4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504BC09-1175-4B7E-BB8E-54A13C2BC54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4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4060E5F-652E-4A58-92E1-03460324A00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4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8DEF392-F111-4C7A-B5FC-0318682E79C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4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7085C87-74E3-42F9-A042-DB00DA73AA8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34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285C42A-5A96-4D48-82E1-2E710C6B256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35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3ADEB3D-F309-4515-86BD-6BEE54F6991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35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E9B9E44-4449-45F6-BFA8-D3F035B7254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35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419696E-8E1A-49B5-8F3A-6661BB2A026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35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BA14761-A974-4806-884F-29F875A2B3B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35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65C5D88-E14B-42E9-BD79-22EA32725E4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35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0D7CF9A-74C5-43CC-92C3-C37E60CB952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35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FFC6400-2136-4568-BCE7-C29A4F1FAF4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35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7D234AC-3112-4CF2-B65F-E73D327092E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35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F6B98B2-6284-41F8-8827-639757F75DA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35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2AFBF4F-891F-47E9-92A2-E7ADEAE71C2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36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BC251E5-4A97-499C-A4A2-FBDA08D729F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6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84F3EBA-7DB1-47D2-965A-5EECF00265D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6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F878719-80A1-41A2-A0E4-D4FB96407D0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6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E0E9199-EF0C-40EF-ACBC-0A4C47BF7F4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6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AD0F133-4FA5-4B1A-814C-CB9CCF7098F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6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CB35F8A-DB6D-41CC-B6DB-ED90745AA10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6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9B9B518-2A78-4A6D-A9E5-DEE1DDBDB91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6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D3603F3-FD4F-4883-AE90-D89B1A432E4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6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6F818D3-A8D4-43DB-BD5E-FBCDDF728EA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6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FD3FB91-A322-4134-B078-5B9807D6B3E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7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F20C154-92D3-48B5-8754-D177D0B9077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7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4898B2F-6109-4805-9C4F-4B2FA14FEBA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7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AD48105-8487-4B55-9C48-6D864773782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37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2B3D0D8-DB35-4862-84CA-89226931A1B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37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0CE0D78-4F82-4CA6-A95A-AC12B55DBF7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37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BF75DDB-8063-43A0-A050-E72A94D2185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37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3788373-09BD-40B1-BFE6-9C12612A3FB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37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FF2A65D-E644-4600-869B-C9EF42F97F3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37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D8F08AA-3647-46B9-974D-A7240F33A9E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37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1A1B9E8-8616-476B-ABD5-261C1942DC0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38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1C69B33-2444-4F9B-9189-0DCB4FB60E9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38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84B5F63-4E32-4431-849B-18C304C88CF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38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E0B2DEE-ED97-4418-B37F-9190E534DAF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38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9D8DC93-3B33-4A66-AB95-944C15D0F07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38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41E4B59-BF4E-4A82-9D7C-9F97CE46A46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8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CB8B98A-D2CB-4492-9C3D-B490A0AF7D0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8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621AAA1-73E1-40BB-A487-3A98BF0F4E2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8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EDA848D-BC17-4FC2-99C0-9529DA89380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8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600A7DC-D782-495D-9E15-46BFBAC983A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8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4E6AFC4-40DD-4582-852B-3C0493D2336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9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F0B380F-25CC-4261-B756-611E90523C8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9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14E9C9F-1EF7-4055-90CE-E6B2AB2412C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9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C99AC58-E13D-4D52-A1BB-822D816BBAC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9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7734BE0-7EEE-4F65-B411-94A794C43BE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9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0A65E2C-F41F-4B83-8DFC-68FD4FACABA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9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FA91788-E164-4CDE-992C-6EE4A436107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39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9C88111-CBD4-4291-B196-0B651E8221B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39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96E7502-842B-48CB-9B07-3623B069F63D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39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D113C6F-5CD5-40FC-970D-317A8E5497F4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39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616C858-23BC-46E0-9D96-7CA3FB958C30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40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80EB5E3-EC52-41E2-878C-5FA957D91D17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40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EEE7CA1-FDC7-41CC-82A4-296A247CF109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40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E4426F4-422A-432B-96A7-D7E7DA74278C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40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FDDDD9B-63EA-479E-A1AB-8576DA79B1BC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40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819D5AC-522E-4146-AD84-86957583A929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40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E75F45F-8CE8-4E7B-85EB-F978FB71E7AA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40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5D50629-F096-46E4-9801-8C3800DE5964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40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DB5A82C-6042-4DBE-B79F-68F5A5A97B62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40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2EBA8F3-E7E2-413F-8A31-67364AAA756B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40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B39EF24-1CC4-4021-AA39-F828E3594B7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41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B788B0E-44D4-42D5-8817-123BA57DBB3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41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77B8A68-7AB1-4D46-9E51-82013402664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41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C694471-1BAD-4DA3-8F53-C2BA71E76C7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41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65F53EA-DBEC-4778-A092-C949A09527F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41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5BB45DB-149F-4E0E-86DF-81AA5271E17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41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772CC99-B822-49D1-BF7E-3FBF1099673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41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6161EF4-0931-438F-B4A2-29764E5EAF6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41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F5E1285-B042-4673-8EB4-889E61B6514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41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BD9F933-02FC-44F8-9263-A7441EE0E84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41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318B7B6-5E5E-43BC-944F-E2D99838552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42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5C7FACC-A74E-452E-85B5-4479030874A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42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40030A3-2DE0-4C06-944F-226712E5C4B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42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027087C-1135-4CE6-A6D6-B4473E62A67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42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98DFAB8-31FF-4F52-A4D5-CEB44655E0A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42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A53B1D5-8522-4F9E-BE54-8C13F826393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42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9B711F8-0B44-4988-AB2F-1050A2CD64D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42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4265B15-4B88-4037-8FAD-BFE95902295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42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06E15E4-DA5D-4EA1-A54A-3D6F83C104D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42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ACDBEF0-57F6-4CA8-B624-73B2BADC8E6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42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63A4F44-A2E2-4190-8467-AB608F31FC4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43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8BFA75B-408B-46E2-9A3A-59540658791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43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78DB41F-80C1-4917-A663-053F4BA3A59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43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278CD70-A744-40AE-B239-BFC921B4BF5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43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88FDE8C-786A-465A-B06C-5E2F320D4A8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43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A87381D-0583-46C6-A161-1FCF3E7947F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43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7ABC94C-D2DA-4370-9550-38C04FCE004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43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7E13CB2-C24C-4450-9929-3A678898355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43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822806A-A8EB-465B-A93E-AA1CF7D9A5E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43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BE11539-03A1-48E4-A9DA-10981BCD546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43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9DAACC6-5887-44E6-A47C-5C466280AB5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44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8235BDE-C362-4B30-8D8F-385EF773A60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44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1A51368-4B9E-42D6-B4B8-890C45AB940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44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7905891-2432-4CA7-A4F8-9E273D0D110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44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A0A19E4-4F70-469C-87EC-ABD3136523E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44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F1225D7-6051-4292-A0E8-829DB959314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44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79E7168-3F19-4662-8E98-021F722C116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44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7E267B8-FC2B-40D4-A83C-5FB61EDCD5B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44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7A474B8-E107-487C-A7B1-B02F2E65BE8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44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BADA200-583E-4DF5-B53F-CE230649DF4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44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5B380FA-30B5-42B1-BB1A-A8399B20AD6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45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BCF361D-CE8E-4F42-95E4-A64C5D8544F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45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99BD013-B20C-4C96-940A-6E5ED5011B5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45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C9F9ABE-C2E4-4E34-BF2C-B680CF624F6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45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BCB6021-3B13-4BE5-95CE-32030C79925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45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0A22616-85DB-4CEF-8430-47BA4E431AE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45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EB6B9CD-9368-4301-881A-AFCA1B2E789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45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C0C8304-FD36-4022-8D18-8CEACE0A5BD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45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5F52C70-D536-45B0-9B9D-F265E4A10FD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45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82C82C4-556F-441B-939F-77C30BAAB7F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45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BD52156-51AD-48A0-8931-C5C38A664EC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46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F6A25AB-82ED-4784-8277-EF8F9D0353E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46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7D7A329-515D-4BBC-AC88-2C5FC8C1CAD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46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1F64AF8-10CE-4298-90D4-CB2038A56A6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46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FEBF1C6-6956-471E-801E-CB3F3097623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46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A96DFBA-6782-4EDC-8859-3A0EFAF1711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46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2EC137E-54EF-4F15-855E-09A5AF91C4D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46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1DAADC8-F208-4018-8ED2-756922F6E46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46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C5458B5-0A6F-415C-924F-25EAB0CFB7C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46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679EAA9-3BFE-4911-AE0E-5DBE020A39C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46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BCA7F11-3221-4DAF-B800-B94A34880BA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47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DF0881A-FA27-4866-B9A7-C47792731A4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47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957128E-082F-48FB-B444-29F866BFE1A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47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385E86A-8A60-49E7-82CC-55F2EF8246E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47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61538B3-08D8-418D-9E40-3D918DBA853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47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39E865F-B43F-437F-8D3E-A602EF364F1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47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49A3CE6-A36E-4323-BDC8-E12FBECC4F3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47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AD5B88C-41CE-4C55-A882-4BF2AD4C7BB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47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8002A9D-B145-4EE5-B0C1-5520BFE196F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47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CACD234-9092-41A0-9BC0-616DA61F51B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47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9AAB60E-46C4-458F-A672-2199BD7EC95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48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0852C90-623B-49C5-8105-9E15C31E453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48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7E3164E-9B56-41F3-948B-9C28CE32AEF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48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59BB02A-5CF3-40FB-81E3-73436C4590C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48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B9104DB-35F4-4AC9-A841-23F5201F088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48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11D9352-955E-4CCE-83E8-941FAE2B175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48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F2843EA-BA29-4AB8-A6C6-49D3842CD56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48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7663CA4-BB56-44CF-9C13-8CD9A0B6CA2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48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5ABB6D8-7662-41B4-BE3E-A1CA3AA3E9E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48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5F2D4BA-B077-4CE2-870E-20D5CF42CBC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48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669B38F-1294-4242-AC30-96377628BF7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49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1380804-CD75-4395-BD31-82E5D227C4F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49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CBFD9DF-C266-4250-A57D-3BD4F659823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49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2AD7FAE-CB3B-43C4-9BBC-3EB8F644FCC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49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C098DE3-3863-4800-B972-294EC4F27E7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49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79F2125-85A8-4DAA-9536-1CD86816370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49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F498306-CF85-4314-A9CF-7E727A1BE36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49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7200D4D-3C0B-45A9-BFBF-B72B359D954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49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0F88F3A-9C50-4E1A-B96C-99586730B3A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49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6AEA734-8EE3-4866-BE46-B4C866DD46B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49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15B63D7-74B4-46EE-BA5F-503E954C9B3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50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489A2F8-CB66-45B0-AFA5-2CA6B6FAD24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50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5988FA7-7A74-4C2F-BB2A-ECEB642B36A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50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60A62EC-58D7-477C-A14B-A53CBF41425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50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76FEA12-95B5-4391-9544-F7B42DBD0AA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50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08A93CC-40C2-4B8C-BF99-AEFDC83A465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150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37F47F9-C8DD-47DC-B23B-33ADF3D4AAB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150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FFDB5AA-60F4-4F49-8626-5C0A55BE881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150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B9F58E5-562B-4466-A0F3-4941ED726A0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150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D7474FA-7EAA-4559-9FA9-CB848758C97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150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35BD60D-60D4-456A-9E58-7167C5A68E3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151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BD6DEB8-FAA0-475C-9AB1-A4E3F030DAF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151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98F2A25-D1F1-43D3-9C0D-B88F9DD2AAE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151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E0EB892-D4F8-48EE-B9AE-C43F16A4BCC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151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C70B7BF-312A-49B5-A7BE-D08D7AC5911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151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139E0E6-AF49-453C-B20B-96D5012266D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151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FE5E113-CBAC-46EF-B40F-36976029454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151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08376E3-2A33-4256-AB92-A10E4223556C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151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EBC9ED3-5C38-43CC-9D50-CCE1AC99CC4F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151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A0EB678-239E-4045-B733-9F0458B15C0B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151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D1DA1D8-9164-4A3D-8E0F-4F0559C9E347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152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ADDB481-FD62-475B-9163-B1B70A4276F5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152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0E87CCC-E549-4C7D-8F6C-C2A3C671C6D8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152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0E72ACA-28EC-4837-B2C4-A1693C88C755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152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1F2DEB6-FBB0-4624-855A-41F89B44124C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152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9AC91B4-AA1D-4C86-BF54-CF8522754810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152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62245A3-80B2-4C0C-BF3E-55F830B97988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52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A34FE92-1AA4-4842-BB1E-C2B25233F50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52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BC2AF67-5E05-4F12-8CA3-91CB3222130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52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E6CE3AE-636E-4123-9914-642E9DF20B5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52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0107CD0-2ADF-4AA8-8999-B8FF963EB19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53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2D31065-7454-4223-975B-15F4CCFD0DC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53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7FB156E-0728-4605-B75C-CB9215773A9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53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7ADFCC4-BCEB-4965-92BF-FA2F4977CEF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53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1E9EDBA-993F-4599-9776-2AE35552EC7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53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FF568EC-8159-4847-BDAC-F0F54791B34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53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EFE3862-04CA-44EF-BA96-4B458B338DD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53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32243E6-1988-44E9-A0F6-D44CD2F59EF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53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6EABDEC-584C-4B49-AC16-215D6F82FC3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153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F6D3394-25AA-4D5B-B7F8-4777F223135D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153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3E5857F-4D3A-4335-ABA7-8B6B9304E5AE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154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5B78047-CDF5-4082-B891-73C6A4314840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154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3FA853F-BF86-420C-83A5-5C7595ED1FF7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154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831B77E-5B95-48B2-B8F8-790BD2C4D3A8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154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E6FC108-445F-4309-AA28-C351FC2A27B4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154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A4AB98A-C7DF-48AF-88C1-D1A663FF0157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154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AFED50F-795D-4494-9E02-0BDBD95B04EE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54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B0EA2D4-6861-4F00-BC22-AD718F77915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54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3023FD1-2E10-48CF-9C4A-8727BFED387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54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C4F235D-6E06-4E9E-A878-CF01A5A5EA7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54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BDD855F-5E26-475F-94AC-62712839AB5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55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EBF07BB-8381-43DF-A6FF-F895AD02FC9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55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0D26DB9-B401-4900-99F1-0A6C98D6970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55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C8ABEB1-2ACB-44CA-951E-9FAB5993508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55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6337AF1-F628-419C-9EED-D213FE413E0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55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4A83758-7B0C-4EEA-9A6B-EEB1A7BF79C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55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A340FA0-0AEE-4565-BB2D-A1C3E85DB0A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55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2B23F69-EDFE-42FD-B942-A75BA2EDFCE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55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3640C86-F083-43C8-A05E-58B04191714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55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B55F8C1-AD8A-4E40-A4B7-DD50646CA00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55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E4C4596-F36B-4032-B54C-FB30ADB439E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56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EDC44C8-FF08-40BD-B957-7D3DD3757CC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56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15B102B-F1C2-4D62-9327-FE3854074DA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56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475A603-EA55-46A6-B55D-E4128552C58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56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30F4A1E-E33C-4B9A-8CE5-336A9D63DE9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56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F02CA27-448C-48A8-B594-A67EBA66BC5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56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4D3C666-EB58-48BB-9AAE-04856087BA0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56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ADDA062-6F9D-44A0-B2BA-E83E94AB7BB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56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F8ED784-756D-44C9-A597-559162C7193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56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C8C802C-8DA8-4332-AAE6-C7545229523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56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593F810-D408-42EE-9E37-65BC65FE23B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57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684820F-B750-4579-9684-C35B7F8D4E5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57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E48E679-2FB0-466E-A75C-C1A66852D79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57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69CBED0-A229-4231-8C37-DE03325BE7C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57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3EFE722-F9EB-41CC-A9FA-AFBE14E3AEF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57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F27800B-6CD2-4A7D-8985-1EE109231D2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57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535B88C-ECC9-4098-8545-5255CC4C3AD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57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28F9E0C-BB77-4AB7-A5D6-B61271CCB5A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57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9A1B3DA-D8B0-4317-B77A-A0C2D6AC98B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57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389D6D9-C599-4627-B457-428A39D610F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57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D605A24-F567-4D5B-B2EE-A2E0906157E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58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D8B711C-9A18-4BBF-8DE6-C62AB84C761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58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69CD5EE-D36D-46B7-974E-0986DCFBFC6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58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FD0FDDB-9C72-4CFA-8E4D-0582775752D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58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3651CD2-34BC-40C7-B3EE-FDA83779FCA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58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39C281C-A4D0-4B30-A9D6-A1AF4E0F9E7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58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DC70FEE-DFB1-4B25-8CD3-CCBFA16FB44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58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21B540C-EF2B-493B-82EE-DFBED2E65EC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58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24B900F-45F4-4A5A-A18D-16882F5A8A8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58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65D4B5C-A850-4207-8BFC-5D6DCF6FC56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58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6135521-5DB6-4B08-B231-83EB05DA057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59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030E219-A13C-4CE6-8F6A-CC8EEF7E889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59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FED2289-D433-4A63-8FBF-FDE59AF51C2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59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6E11611-49AE-458F-B1DC-AF5F33D0200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59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116B70D-7709-4E5E-A36B-2DC7B1700F4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222250</xdr:rowOff>
    </xdr:from>
    <xdr:to>
      <xdr:col>7</xdr:col>
      <xdr:colOff>3943350</xdr:colOff>
      <xdr:row>24</xdr:row>
      <xdr:rowOff>435924</xdr:rowOff>
    </xdr:to>
    <xdr:sp macro="" textlink="">
      <xdr:nvSpPr>
        <xdr:cNvPr id="159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6C0C9B8-7885-4DCD-B556-6F1C3404C645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557250"/>
          <a:ext cx="977900" cy="2136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222250</xdr:rowOff>
    </xdr:from>
    <xdr:to>
      <xdr:col>7</xdr:col>
      <xdr:colOff>3943350</xdr:colOff>
      <xdr:row>24</xdr:row>
      <xdr:rowOff>435924</xdr:rowOff>
    </xdr:to>
    <xdr:sp macro="" textlink="">
      <xdr:nvSpPr>
        <xdr:cNvPr id="159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C03710A-4B8F-4D7F-82F2-90692AE24F15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557250"/>
          <a:ext cx="977900" cy="2136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222250</xdr:rowOff>
    </xdr:from>
    <xdr:to>
      <xdr:col>7</xdr:col>
      <xdr:colOff>3943350</xdr:colOff>
      <xdr:row>24</xdr:row>
      <xdr:rowOff>435924</xdr:rowOff>
    </xdr:to>
    <xdr:sp macro="" textlink="">
      <xdr:nvSpPr>
        <xdr:cNvPr id="159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804FDD4-6432-4354-AA75-06856A4615C0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557250"/>
          <a:ext cx="977900" cy="2136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222250</xdr:rowOff>
    </xdr:from>
    <xdr:to>
      <xdr:col>7</xdr:col>
      <xdr:colOff>3943350</xdr:colOff>
      <xdr:row>24</xdr:row>
      <xdr:rowOff>435924</xdr:rowOff>
    </xdr:to>
    <xdr:sp macro="" textlink="">
      <xdr:nvSpPr>
        <xdr:cNvPr id="159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7DCC17B-3EF8-420F-99F8-2E7F4662A8DE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557250"/>
          <a:ext cx="977900" cy="2136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222250</xdr:rowOff>
    </xdr:from>
    <xdr:to>
      <xdr:col>7</xdr:col>
      <xdr:colOff>3943350</xdr:colOff>
      <xdr:row>24</xdr:row>
      <xdr:rowOff>435924</xdr:rowOff>
    </xdr:to>
    <xdr:sp macro="" textlink="">
      <xdr:nvSpPr>
        <xdr:cNvPr id="159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E0FD6F3-EFFC-4251-893F-1504C96F865C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557250"/>
          <a:ext cx="977900" cy="2136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222250</xdr:rowOff>
    </xdr:from>
    <xdr:to>
      <xdr:col>7</xdr:col>
      <xdr:colOff>3943350</xdr:colOff>
      <xdr:row>24</xdr:row>
      <xdr:rowOff>435924</xdr:rowOff>
    </xdr:to>
    <xdr:sp macro="" textlink="">
      <xdr:nvSpPr>
        <xdr:cNvPr id="159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3E44056-2BEA-4E43-BC32-5457B9BF849D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557250"/>
          <a:ext cx="977900" cy="2136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222250</xdr:rowOff>
    </xdr:from>
    <xdr:to>
      <xdr:col>7</xdr:col>
      <xdr:colOff>3943350</xdr:colOff>
      <xdr:row>24</xdr:row>
      <xdr:rowOff>435924</xdr:rowOff>
    </xdr:to>
    <xdr:sp macro="" textlink="">
      <xdr:nvSpPr>
        <xdr:cNvPr id="160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10845B3-16E8-493E-B2F2-5FF75AF41017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557250"/>
          <a:ext cx="977900" cy="2136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222250</xdr:rowOff>
    </xdr:from>
    <xdr:to>
      <xdr:col>7</xdr:col>
      <xdr:colOff>3943350</xdr:colOff>
      <xdr:row>24</xdr:row>
      <xdr:rowOff>435924</xdr:rowOff>
    </xdr:to>
    <xdr:sp macro="" textlink="">
      <xdr:nvSpPr>
        <xdr:cNvPr id="160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71375B4-ED56-4654-995E-43D9E2358CF6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557250"/>
          <a:ext cx="977900" cy="2136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222250</xdr:rowOff>
    </xdr:from>
    <xdr:to>
      <xdr:col>7</xdr:col>
      <xdr:colOff>3943350</xdr:colOff>
      <xdr:row>24</xdr:row>
      <xdr:rowOff>435924</xdr:rowOff>
    </xdr:to>
    <xdr:sp macro="" textlink="">
      <xdr:nvSpPr>
        <xdr:cNvPr id="160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F17F110-AFB2-4A4A-B6AF-E336140C570B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557250"/>
          <a:ext cx="977900" cy="2136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222250</xdr:rowOff>
    </xdr:from>
    <xdr:to>
      <xdr:col>7</xdr:col>
      <xdr:colOff>3943350</xdr:colOff>
      <xdr:row>24</xdr:row>
      <xdr:rowOff>435924</xdr:rowOff>
    </xdr:to>
    <xdr:sp macro="" textlink="">
      <xdr:nvSpPr>
        <xdr:cNvPr id="160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D6B7C6C-61C0-4D83-B7FE-BA16325BAC3F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557250"/>
          <a:ext cx="977900" cy="2136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222250</xdr:rowOff>
    </xdr:from>
    <xdr:to>
      <xdr:col>7</xdr:col>
      <xdr:colOff>3943350</xdr:colOff>
      <xdr:row>24</xdr:row>
      <xdr:rowOff>435924</xdr:rowOff>
    </xdr:to>
    <xdr:sp macro="" textlink="">
      <xdr:nvSpPr>
        <xdr:cNvPr id="160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1C769F4-3743-4E4C-9D55-38D1FB135D39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557250"/>
          <a:ext cx="977900" cy="2136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222250</xdr:rowOff>
    </xdr:from>
    <xdr:to>
      <xdr:col>7</xdr:col>
      <xdr:colOff>3943350</xdr:colOff>
      <xdr:row>24</xdr:row>
      <xdr:rowOff>435924</xdr:rowOff>
    </xdr:to>
    <xdr:sp macro="" textlink="">
      <xdr:nvSpPr>
        <xdr:cNvPr id="160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ACE5445-3C79-4194-BC3C-97DC33078FDA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557250"/>
          <a:ext cx="977900" cy="2136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222250</xdr:rowOff>
    </xdr:from>
    <xdr:to>
      <xdr:col>7</xdr:col>
      <xdr:colOff>3943350</xdr:colOff>
      <xdr:row>24</xdr:row>
      <xdr:rowOff>435924</xdr:rowOff>
    </xdr:to>
    <xdr:sp macro="" textlink="">
      <xdr:nvSpPr>
        <xdr:cNvPr id="160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FBDFDEA-9243-41BC-9306-35C98813C688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557250"/>
          <a:ext cx="977900" cy="2136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222250</xdr:rowOff>
    </xdr:from>
    <xdr:to>
      <xdr:col>7</xdr:col>
      <xdr:colOff>3943350</xdr:colOff>
      <xdr:row>24</xdr:row>
      <xdr:rowOff>435924</xdr:rowOff>
    </xdr:to>
    <xdr:sp macro="" textlink="">
      <xdr:nvSpPr>
        <xdr:cNvPr id="160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485DA4D-4847-4C48-AF39-F10C4F1886E1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557250"/>
          <a:ext cx="977900" cy="2136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222250</xdr:rowOff>
    </xdr:from>
    <xdr:to>
      <xdr:col>7</xdr:col>
      <xdr:colOff>3943350</xdr:colOff>
      <xdr:row>24</xdr:row>
      <xdr:rowOff>435924</xdr:rowOff>
    </xdr:to>
    <xdr:sp macro="" textlink="">
      <xdr:nvSpPr>
        <xdr:cNvPr id="160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F4E5FB1-7278-48DA-B709-B65FBBC2EA0E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557250"/>
          <a:ext cx="977900" cy="2136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222250</xdr:rowOff>
    </xdr:from>
    <xdr:to>
      <xdr:col>7</xdr:col>
      <xdr:colOff>3943350</xdr:colOff>
      <xdr:row>24</xdr:row>
      <xdr:rowOff>435924</xdr:rowOff>
    </xdr:to>
    <xdr:sp macro="" textlink="">
      <xdr:nvSpPr>
        <xdr:cNvPr id="160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63C7AF5-85C1-4CB8-BE13-4E3CCEA91EA6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557250"/>
          <a:ext cx="977900" cy="2136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222250</xdr:rowOff>
    </xdr:from>
    <xdr:to>
      <xdr:col>7</xdr:col>
      <xdr:colOff>3943350</xdr:colOff>
      <xdr:row>24</xdr:row>
      <xdr:rowOff>435924</xdr:rowOff>
    </xdr:to>
    <xdr:sp macro="" textlink="">
      <xdr:nvSpPr>
        <xdr:cNvPr id="161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9019361-C6CE-4A6B-AF73-ABB9D2361A1F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557250"/>
          <a:ext cx="977900" cy="2136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222250</xdr:rowOff>
    </xdr:from>
    <xdr:to>
      <xdr:col>7</xdr:col>
      <xdr:colOff>3943350</xdr:colOff>
      <xdr:row>24</xdr:row>
      <xdr:rowOff>435924</xdr:rowOff>
    </xdr:to>
    <xdr:sp macro="" textlink="">
      <xdr:nvSpPr>
        <xdr:cNvPr id="161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3B0D4F3-E9E2-475C-AF83-EA0CC561F0ED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557250"/>
          <a:ext cx="977900" cy="2136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222250</xdr:rowOff>
    </xdr:from>
    <xdr:to>
      <xdr:col>7</xdr:col>
      <xdr:colOff>3943350</xdr:colOff>
      <xdr:row>24</xdr:row>
      <xdr:rowOff>435924</xdr:rowOff>
    </xdr:to>
    <xdr:sp macro="" textlink="">
      <xdr:nvSpPr>
        <xdr:cNvPr id="161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109BC33-32B3-4489-9A82-692CDDD2E73B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557250"/>
          <a:ext cx="977900" cy="2136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222250</xdr:rowOff>
    </xdr:from>
    <xdr:to>
      <xdr:col>7</xdr:col>
      <xdr:colOff>3943350</xdr:colOff>
      <xdr:row>24</xdr:row>
      <xdr:rowOff>435924</xdr:rowOff>
    </xdr:to>
    <xdr:sp macro="" textlink="">
      <xdr:nvSpPr>
        <xdr:cNvPr id="161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9522549-4B0D-4EFE-B220-AC90D5F7B4A8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557250"/>
          <a:ext cx="977900" cy="2136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222250</xdr:rowOff>
    </xdr:from>
    <xdr:to>
      <xdr:col>7</xdr:col>
      <xdr:colOff>3943350</xdr:colOff>
      <xdr:row>24</xdr:row>
      <xdr:rowOff>435924</xdr:rowOff>
    </xdr:to>
    <xdr:sp macro="" textlink="">
      <xdr:nvSpPr>
        <xdr:cNvPr id="161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EA8CC5D-B07C-4A21-97D8-A0F06AF7DF11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557250"/>
          <a:ext cx="977900" cy="2136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222250</xdr:rowOff>
    </xdr:from>
    <xdr:to>
      <xdr:col>7</xdr:col>
      <xdr:colOff>3943350</xdr:colOff>
      <xdr:row>24</xdr:row>
      <xdr:rowOff>435924</xdr:rowOff>
    </xdr:to>
    <xdr:sp macro="" textlink="">
      <xdr:nvSpPr>
        <xdr:cNvPr id="161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C00D189-8B32-4ED4-A1D6-BD69BF8960B2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557250"/>
          <a:ext cx="977900" cy="2136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222250</xdr:rowOff>
    </xdr:from>
    <xdr:to>
      <xdr:col>7</xdr:col>
      <xdr:colOff>3943350</xdr:colOff>
      <xdr:row>24</xdr:row>
      <xdr:rowOff>435924</xdr:rowOff>
    </xdr:to>
    <xdr:sp macro="" textlink="">
      <xdr:nvSpPr>
        <xdr:cNvPr id="161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4FCEFFC-A26B-4D76-ACAC-1AABAD839FB1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557250"/>
          <a:ext cx="977900" cy="2136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222250</xdr:rowOff>
    </xdr:from>
    <xdr:to>
      <xdr:col>7</xdr:col>
      <xdr:colOff>3943350</xdr:colOff>
      <xdr:row>24</xdr:row>
      <xdr:rowOff>435924</xdr:rowOff>
    </xdr:to>
    <xdr:sp macro="" textlink="">
      <xdr:nvSpPr>
        <xdr:cNvPr id="161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C8890F9-AC1D-4B97-8747-4DDEE72451CC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557250"/>
          <a:ext cx="977900" cy="2136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61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745D790-DEB8-48A7-B36B-4EB416A4260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61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50FDA79-CF61-448F-91C8-3CA90A469B5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62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3ACAA12-1193-4C52-8C3F-541E065C1FF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62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903801C-5A5C-4841-ACC5-E424EE4D8EF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62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B9B6341-0B21-47A9-AA7B-637C310E639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62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C113617-D173-4108-ABE4-A038A1CD3E8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62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916F143-5CD3-4CBF-8F3A-6F46DA56D50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62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6A3A34C-B305-4948-8CAE-846BB9AAC38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62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99BF5C0-9817-4B86-8427-CD5976C171B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62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4353074-9F1F-4FFE-A4DE-BCDAD6EBAB9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62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7770692-D739-409B-86A3-C3BADDD278C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62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D931944-5BF5-435C-9AF7-F3EA53CAE23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63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6FC34B4-24BE-42C4-BC81-0BEA6512064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63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CF779A3-88CA-4630-B6EF-80D8C021FB0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63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E0C989B-CA50-49C8-9ECD-534378793A4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63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32C0A75-CB96-4BC9-96F6-49CF6B849F1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63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F29F9B8-9944-49E7-8EDD-995D16537C8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63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C95F52B-B184-466F-8CB6-B5DAE6A0FF8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63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CD182D6-7F12-447F-BC8B-5793AC87934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63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945DBA2-CD7D-4552-B027-CB6571B3873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63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43FBDDF-5EEF-48C6-84C7-0DBEDE54C87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63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6907F97-9699-4E7A-9435-C5E459CB44E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64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3DF3769-1310-4031-81C8-C8CF95D4ABF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64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68647B9-1AFE-4761-B29E-C8F358EA5D2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64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DC71517-99AA-49B8-A071-13C6C7930FE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64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E467598-5236-4108-A0BC-59EA286E22F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64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39F0E3A-4698-462D-BAE0-EF1EF3E5695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64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40AF285-6BF6-4C59-AEE4-FF005CDF785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64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809619A-5779-4CDE-8F0C-73D35E98DF3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64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4197FEC-3795-4C4F-9B2A-C89DBF371BB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64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653A085-C228-403A-95D3-1854E1F1D69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64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19C93F1-8617-47C7-BE18-612888FF795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65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174194E-DB61-4902-990F-380CBB72459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65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1CB64DA-72AF-4872-8FEB-FE52C8FA9FA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65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D6F7CEF-EF31-4A7B-BC88-430F67B2B6F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65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A10FF32-11D1-48BE-9AC5-6CA0A544211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65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9EE2C28-E894-4618-B375-A2871D59FBB1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65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0CC761B-1F1C-4244-B992-414C3F207635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65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B632FCD-E0DD-4CC5-BE41-6B0EB661DB25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65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E8BF353-7877-4721-8CA2-37C5885A5570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65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7ACA44E-61F2-4350-ADE4-BE2AE32C3729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65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86D9899-535D-4861-B9A5-4C8E695C7261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66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0C1A59A-8928-48CE-B9E7-2C15E44C9BB2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66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70A330C-9AB8-4E97-9C2A-BDBE7A1211EF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66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69068BB-9EBF-4D02-A3B2-777276FD3594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66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6C0F650-5309-4A87-B261-73DCA20D61A6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66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A812AD0-8784-4454-912D-BE9A228BAD17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66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95CCE6B-B376-478D-8194-A3B794F51288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66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84D044D-9D88-4248-9054-8681AAD0E45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66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E78A5C0-4910-4247-9F86-2E50D7F79F4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66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005B08B-5F8F-4B2F-85C6-2B167CAD453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66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E1AE1E1-E484-4F54-8138-EF7324BC2E3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67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33F459F-99B5-4F94-9A06-B3FF3704C0B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67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56A3DD1-19A3-4E41-AA33-3DEBF04D387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67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5A5013D-F84A-4859-86FD-637C02B8A78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67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2E839B9-8E8A-4FDA-81A6-C1FCE5BC645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67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9EABE33-856E-47A8-8F6C-47A8062E060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67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4925A9F-BD74-461C-8BD8-D8808AAC068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67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EB186AC-D726-4C0F-A9EA-71897489853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67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3DFAA8E-793C-4217-9D04-2EACFE0F6DD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67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E2C4413-D2D5-476B-AB92-124F7CB7695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67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700080E-D91B-4111-B5EF-6DCBE53A14E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68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132078E-631D-4B36-949E-5FD29F936C4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68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1233E29-E6AC-4111-A7BF-4F22A9DED25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68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F2DFC8E-4373-4D05-9AC2-7E5BF4433E5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68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0F8031C-C6CD-4135-9876-F4AEC00FB88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68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7255B54-D817-48BB-8377-B5BA0542BC8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68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A189CB9-280E-4A1E-8F03-D49D23578D5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68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7286D34-57C2-455D-B5FC-ED816EB4F81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68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0DA8072-8B62-4BF9-936C-25D0478DA07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68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D74C54B-32C3-4285-BC51-AB831FAA7EE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68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4F56397-D95F-45EC-A8AC-CEBC9C07D0A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69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ADEADFC-F513-4286-9143-966F90819EC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69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3006033-F379-447C-9AEB-EBB6B0C8455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69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3973095-E449-4F49-9A6C-EBCE3E4A93E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69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46A7B28-7F19-49FE-B830-A8554E053FE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69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1622742-C017-4A3C-8E90-D47E1E2C17C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69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F3DD4EF-239C-4910-B35D-0ABB789EDBF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69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E8E9C21-01EE-4A8B-B660-B722E721E6F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69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B75CB78-A07A-4305-B489-02195F07975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69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C39CC4C-0FC1-4DD9-B469-40BDAD5F44E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69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F4E22F6-5134-4404-AAC2-42B97575C82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70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4B18304-B517-4E1B-86F1-E7CE9CAC26D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70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F0A6459-32EB-4DE7-82B2-C0CFDCC20FD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70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095A995-7DD8-4931-A8D5-6CD011D189F6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70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73CE96B-A710-49BC-AE11-95D43BEB5B0D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70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8C9D858-E14F-438C-BC11-2F87154F78CD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70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F2F3AF8-E44C-4712-957F-A932DE5B0D8B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70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E4A9165-0988-45B2-B718-6377BE11ED54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70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C25B7BF-6233-4C28-972C-3FE5B1213C3B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70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CF046C7-5908-4259-8F95-08C5F8491CF7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70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929FB13-519B-4141-AE3B-6E2166F08E46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71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B83D020-D269-4333-BF26-92EE779C2E2E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71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F4F1B85-30E2-4AE4-AD2B-88018844ED23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71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802A039-2342-45A1-B023-B8C8EF9E8C4E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71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102E687-748B-45F2-843C-68BDCE144BDB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71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A263997-0651-400B-A7BD-E46EF8676D4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71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4347A54-B651-4B6A-8877-0B102C67115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71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5BD8A0F-3326-4215-9DF3-A8509B64BBF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71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1ACB990-2C91-4C94-8C21-FDCED4B2209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71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162550B-8569-4C72-B3D6-EE34576E1E7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71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04718A5-C939-4F40-8E46-071C77539B5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72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A485D7C-197D-4E28-93EE-8C38BA9FCDA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72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32C650D-0CCD-4914-A30F-B54ED51DDC0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72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C266E31-3C20-47B8-BE56-EFAF9DE187A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72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9EC25BD-B905-402A-B3BB-55F27661CBE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72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7141CE0-15C4-46C2-9519-B27241A4FA7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72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2C1CDC6-8948-4DE5-B3AE-C4FBA5CCE20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72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E8184FB-B8DC-47D6-8E7E-6B3BA905A21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72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3BDD831-EA46-4313-9D30-9256F8C69C7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72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2DB4ACB-F772-4446-A9CB-B8195B77F7E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72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44D2F86-B81A-47AB-90BE-61E7212DAE5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73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D6AA2F8-D0FE-4CAD-AAA5-796C75625A4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73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C20DDB3-4113-4FA7-B062-C77C03C712C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73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D60D30B-825B-4A02-A338-7C34D68C442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73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71D4D57-CF3B-410A-BD6A-4AD9A4AA80E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73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DC9F9AD-1166-4ABC-A010-D55D49936B2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73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270A98D-9EAB-4F0E-B687-2614D53BEB8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73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4FBC330-8B76-4B59-BD3D-2A26D106793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73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F24BB43-3367-4871-9347-39079FE77A8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73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6B1FA20-0A8F-4FDC-844D-C2C406D9B3E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73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40525C0-6326-4BDA-8985-FD2F09B020C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74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9BB9BDE-021B-4E9A-AB3F-96A90BC1070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74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1F26814-FF69-4E16-821E-41E4A239FE7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74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4CC4C4D-3A78-4854-9C15-40782677E39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74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8B9E73B-C085-4D39-8588-7F7F8BD3166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74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A95237F-ABD0-484A-943D-FB5496D1FB7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74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7728EE7-DDD0-4E28-B88E-0C0F51E4E62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74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4A891CE-4507-4E8D-973B-7264C797A8D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74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9A621C7-1AF8-40CB-B84F-C9A632112F1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74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DC7B0A7-8F51-4770-BDB8-128189FFF5C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74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DEC655C-97DB-490D-A00D-EEC28824F6E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75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D91AACE-4E32-4E5B-BC0D-AD3602FB7EA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75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25D1846-DC43-4F89-90FF-D61952FF782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75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4CEFA1D-6D84-4C01-845E-7DAE80403D5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75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6DEAED9-5988-41A0-A849-54669049EA0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75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5E9F02D-33F5-472B-A94F-23C5FE928F5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75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8DDB831-D8DB-4C08-A3C8-BAD7AC28E28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75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B85194D-3019-490E-916A-AC381BF7341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75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4177762-82AA-44D7-8292-DD0C8196995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75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6D500C7-CE29-4FAC-8C2B-D8F538E3FE9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75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EF1B1D9-9185-4EF1-8D6C-098B5419F14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76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067F53B-3815-4AF0-B0B4-38BB16B8E34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76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58DB462-12C4-4D9A-A049-24EA3FEF6F5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76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BD03466-60EB-46E6-89DB-71D963259FB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76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5234869-9595-41C9-A451-549F7F60268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76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CEC9FF5-432F-4DBF-B807-D1524C18368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76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321DC45-6F89-4561-A983-D6C6D7E26E7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76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7F75B14-FA03-496B-939D-59F0B055DC2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76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4BED308-C50B-456E-B22D-73848F9760F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76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28F645B-4365-42DF-93A2-72E86D151C0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76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B0DDE32-7E25-4804-993C-1FF2FC3797D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77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C70D3D3-6049-4A95-8E6B-02A3E7F8F56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77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A058AF9-9674-461F-AAA9-7C2B7E32A5D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77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D5533C9-B4FA-4266-AE41-70FB1A080F9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77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D6596DF-3C95-44F8-BCDC-E812A2ED1B6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77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9605143-F09F-44D5-8252-34C9B2B9A93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77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CFFE461-1440-4D40-A0E7-A9295DA68F9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77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E28FB89-B4AF-4CE2-9213-E8C2C90C750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77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DDAFD9C-9118-4674-B873-AB85055E120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77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32E2A95-251A-4CEB-B9F6-E33240676AC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77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DBF0CFC-FA6B-4CB0-80E3-799330B00FE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78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73ADCDE-A8BC-4014-9CAF-4110A951FC3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78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E0EE987-58DA-4994-9AB2-F576A6D8FAD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78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54B80A3-C3AD-49B2-B71F-9CC1F48EC7C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78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0E3591D-F512-42BA-88A6-46CF167E3CF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78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4DAEFB0-3D02-4C92-845E-30B4228B03E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78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265D5D1-D9E7-4A31-A584-C565012627E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78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48131BF-D962-414D-AF60-7E4870C80AA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78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CEAA16F-8A94-4DFC-AEC1-E4A16436405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78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0E2374D-71EB-4C92-BCD6-8FBBD4D2CA2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78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14F308A-1E11-45DA-8673-4DE764345EA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79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D396551-203B-4741-8E32-1570A4DC96A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79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F36BA71-15FF-4EEC-AF26-FAEE46119C5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79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DA0B958-4666-4A57-9532-EA3E1DB16FB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79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E1D290A-8173-457B-92FF-B25079C5FEB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79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D70BA6B-18FC-41C9-8211-3DCB4018C36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79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F6D1CF0-1E12-44A5-8230-BA259CD6F6E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79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62DCC47-80FA-4DEA-8DA7-8893C9BA383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79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FD70F93-54A5-4A43-9FED-00F91790706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79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2BBD4C1-DA0F-4B61-85D3-3D0AB4D1420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79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4A284A2-0B3D-48AF-9609-BA6C317A8CC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80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5FE1CEF-859B-40F0-9109-F95FB53B2C5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80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8757D40-C479-409B-8D58-45C2D127913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80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0B57EBF-AFF6-49CA-A6DC-931D312A9AC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80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965DF2B-0AB1-43B9-B282-017415112D3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80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5D5BDA1-AED0-47E2-AA01-9053A1123D9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80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104BE72-AFC7-4A84-B9D6-5C666B94674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80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CC65D35-34AA-4F99-BB5A-99077750452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80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95FEE39-9A32-4A10-BA80-023B8E146E6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80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2AEF474-EB1C-4852-8E47-717B2108410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80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21B2F4C-8BCB-4D6C-B3CD-5D10248AA55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81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8541CDF-CD7B-451E-BB79-39EB9036628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81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E71E959-FB65-4AFF-BF1C-48B259691CF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81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A925A33-728A-4728-96A2-794336D343F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81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0BB64A6-3EC4-42E6-BDAA-5E068E574B0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81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204733D-DE89-4137-AB32-C6E3F527DA3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81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565F00A-BDA7-4354-9180-4DF40E9225A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81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BDAB4CF-D593-4859-9C13-F7D03B2BA8A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81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7776C60-23CA-4490-80D1-286D7CABF28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81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81E9637-BF40-45F7-9754-C7EEE02014D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81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10EBD09-AEE0-4D87-AF72-E7ACA13EEF8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82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3843792-7C59-4DA6-8460-E05DA448D61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82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C0F7AFC-3B04-4A6D-9427-08A289B8146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184150</xdr:rowOff>
    </xdr:to>
    <xdr:sp macro="" textlink="">
      <xdr:nvSpPr>
        <xdr:cNvPr id="182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82FBE24-FE36-4F77-A9B4-61927A3BB0D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184150</xdr:rowOff>
    </xdr:to>
    <xdr:sp macro="" textlink="">
      <xdr:nvSpPr>
        <xdr:cNvPr id="182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29743EE-E825-4252-8960-8203E746AD2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184150</xdr:rowOff>
    </xdr:to>
    <xdr:sp macro="" textlink="">
      <xdr:nvSpPr>
        <xdr:cNvPr id="182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EF1591F-CAB0-4C69-B01D-8F70C8AC1FE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184150</xdr:rowOff>
    </xdr:to>
    <xdr:sp macro="" textlink="">
      <xdr:nvSpPr>
        <xdr:cNvPr id="182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A49A8A1-F1DC-4008-B63E-EAE51355886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184150</xdr:rowOff>
    </xdr:to>
    <xdr:sp macro="" textlink="">
      <xdr:nvSpPr>
        <xdr:cNvPr id="182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32B88BC-9DC3-47D8-9B66-801B803FED5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184150</xdr:rowOff>
    </xdr:to>
    <xdr:sp macro="" textlink="">
      <xdr:nvSpPr>
        <xdr:cNvPr id="182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24BCC4F-72C4-4AC9-88EB-5FC0E797429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184150</xdr:rowOff>
    </xdr:to>
    <xdr:sp macro="" textlink="">
      <xdr:nvSpPr>
        <xdr:cNvPr id="182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067FE88-E332-4FD0-AD82-3D85CA20E95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184150</xdr:rowOff>
    </xdr:to>
    <xdr:sp macro="" textlink="">
      <xdr:nvSpPr>
        <xdr:cNvPr id="182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CF95FD4-C36C-44D9-BECB-728699DFEAF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184150</xdr:rowOff>
    </xdr:to>
    <xdr:sp macro="" textlink="">
      <xdr:nvSpPr>
        <xdr:cNvPr id="183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EF316BE-9B18-4678-ACE6-6C883DBF7C0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184150</xdr:rowOff>
    </xdr:to>
    <xdr:sp macro="" textlink="">
      <xdr:nvSpPr>
        <xdr:cNvPr id="183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3B3C3ED-37DC-4942-B4AA-8C800B9E0E5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184150</xdr:rowOff>
    </xdr:to>
    <xdr:sp macro="" textlink="">
      <xdr:nvSpPr>
        <xdr:cNvPr id="183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A6076C7-4B62-4365-9208-39949078F8D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184150</xdr:rowOff>
    </xdr:to>
    <xdr:sp macro="" textlink="">
      <xdr:nvSpPr>
        <xdr:cNvPr id="183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63D5488-57C6-4606-A79D-6C9E149BF30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83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3BF8691-430E-4FD7-946A-C99B861554A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83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7521C44-99D2-4C05-8FA5-402C4F6F68B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83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57D3EB4-BE75-4498-9C3C-DE3AECE0554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83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1700FEF-7279-4F59-8F20-63D115AEB27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83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7986983-FF40-4D15-9E3A-A38F21D48B3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83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78209DC-50F8-465D-BA9A-06A06926A5E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84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8EC0A50-F6EA-48B3-BF6D-9C264558813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84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B82A267-B605-4015-A3AB-0614D629F52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84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8E28106-8AD6-4E45-9717-ECEC34F5000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84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7D9064A-9CCA-41C1-A84C-5FFDCD8A31B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84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0A4EEB3-F068-4822-9DB7-B4C131E9224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84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FA33964-334E-4A33-8262-92DAF3BD459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84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ADBC2F2-DC87-444C-A743-ADD8D8E87E2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84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7BC3888-C01A-472D-B894-F3935E12582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84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8D2BEA6-88DC-4CEA-9A2C-C9F16EBE8D2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84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21A3216-D72F-420E-A840-3145C52B82E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85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CF43A25-12A4-48AC-982B-393E5F883F9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85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69B3825-495E-4E99-870F-2A7D6BECF17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85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39FB37F-95F7-48C0-89F7-BBC231FFD14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85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27F4D79-515F-405D-8E01-F18FA28FBCC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85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0003DB8-ED9B-464B-A561-903CC263016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85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49F6CC7-3874-411B-8B35-C51CB178EA3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85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DA7DB02-0EB8-4BC3-AE12-2B4E5879B9D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185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5C6E4AF-847F-471C-8570-DCB0CDAEE96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85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AA22220-220A-459F-A902-1F6E4FA5195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85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B5FB6E2-D85A-4745-8DDC-20583C4CAD3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86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EC743A2-7D76-4E44-8A1B-70A4D4120BD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86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364DFC1-D5B8-49F1-85FB-545470A0D75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86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F725975-30C8-44FB-9BC6-442B03F1FAB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86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EE97EFC-E985-48D7-AEDB-7E4D6C21F18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86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E20579A-573E-44AF-9739-8D42A2BD9E3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86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33B05DF-00BD-489E-B1CB-71B5FBA1789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86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AD5422F-1FA0-4101-8337-8EFFEAF78BB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86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33D988D-C228-45C8-972B-95CF2EFC8E4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86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1E24393-42AD-456A-B4E4-9C97F6CF2E5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86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06770AD-C057-44D1-AF83-8A876DA0CEC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87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83C6858-5001-4001-9556-BC4388A219F2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87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EEC43D3-E9CE-4A18-93B7-3A609A121A2E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87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E612F1C-478D-413A-B829-393004842F55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87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D65E1B4-5265-4E4C-B008-4B76ABA667D3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87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90662E2-DBEF-4948-8965-9F0D48074484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87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B5C6A19-2E56-40D9-8EAD-E0A5EFAE2FB9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87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18D7134-E961-4309-BFE3-95A74DE767CE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87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2099CF9-0EBD-46D4-AB8D-C1993C75E1EF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87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274CB56-24D4-4006-BC56-6E8DAA7E66D3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87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BBD2168-E9D4-4476-91AA-6B00CD131E66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88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34B4004-C692-42A4-B1F2-DB2C33A09535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188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B635AF6-D3B3-41FE-ADCA-544B65D281E5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88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A676384-7027-4618-B151-DEF33A6E0AA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88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5050499-E6DD-4BA6-962C-A8CBC1DEC88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88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C6E9074-134E-42F5-8FAF-3A0149CCBDF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88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1652F30-15C6-4D52-B2B3-9D616087A2D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88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2C4A3DA-9D04-4B96-A7D8-516386CFF93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88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D1352D9-ACC3-415E-B130-D935BDF1B68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88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24DAB08-C7EA-4675-9948-D5965265426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88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A8624F6-60B5-4CFA-B7EB-E542A85845B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89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FA15B28-85E5-4764-A346-4B6304A44E3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89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DF85CA1-E2AE-4E2F-9E80-EA5DD31CD0C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89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E4A82F4-2D6C-4063-BA2E-46AFBFF77F6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89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96F2101-2E85-406A-8690-4B185BA5F3E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89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0656EC5-EA92-4129-A5C6-9298FE649D7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89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83C34A4-087F-423C-AF85-3DA07239133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89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71355CA-AB7E-4DF9-8D4F-E6322BFCB09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89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DF707E8-0213-4A67-88B9-59CBB72543C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89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9E60CE2-BC2F-4B8E-9BA9-3F89C1EB96A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89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FCE5B7B-7376-49BA-A7C1-ED79ECC4650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90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3BFC506-9184-4FAE-9818-408F0FDC765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90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B5635C1-39B4-4A0D-9672-20ADE51D1C3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90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BD61C1A-7FD5-41EF-96D9-0BD1E4C94DE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90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8036EA2-5192-4CD6-837A-70868725CD3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90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398EA91-1113-4C21-BA94-FA25952F441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90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DC64537-6250-434A-9726-0FD87430C50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90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2FA1BCB-B4EF-450C-AA3C-678605A27AE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90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92B004F-02E1-43BC-A633-661A881546E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90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6CDBB7B-5317-4B17-A64C-8930C0D6379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90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420BE32-A0CE-447B-B508-8DB1937B015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91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4F12EF9-BBA8-4B02-833F-D6FCD484678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91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FFA2D1E-AB09-4A53-8119-6E87517C886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91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0E84C98-B3CC-4BE6-B457-DC0715016DB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91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3D4628F-AF06-4A18-BA00-67C26A9EBB2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91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AE6F213-10E6-4693-881E-C500AA21689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91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7E6D589-8877-4993-8BC9-5569EC99C6F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91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0E22952-0974-4E1C-B9A8-C95DBE7E62F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91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926119A-809A-4F84-94AA-19B07369ADB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91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9F03E40-3599-48E8-AD96-B7A0712C819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91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4C5D4D3-3D3A-4A41-80B7-049CD7875C2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92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745CF34-6ACD-4597-A3E5-F6094E410FC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92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AE52921-83E6-42FE-9177-0E11EDBBD31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92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B652BF3-47B5-4293-89B8-BECF4712EAB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92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94FD71C-936B-42B1-83B2-11D54849C4B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92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554212C-E6CC-49D0-8AD0-7428A7F08B3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92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4B2DE5A-1ED2-49AA-A40C-DDDD2584836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92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09BE26F-48C4-499B-9F35-1DC2B97D50C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92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9082E48-F148-4FF7-8446-85EA45E47B1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92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E057B09-5F85-490F-8106-816F1E6C508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192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57BD1DA-C097-442B-BD9C-87A6C22EB36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93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DC20E3C-B43E-43B1-8A83-2ECCB54628D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93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FBB6D15-B366-408F-96B5-3BA166E2742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93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B95AE5A-A1AF-49CC-9457-2BB96E89F3C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93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8A8A781-63AE-4C0A-B6CD-A2BFCF07F59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93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583F8F2-433D-4830-BD39-404FDDECD1B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93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8C4FE1A-2940-43AF-BD29-8C9E6779732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93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0B10976-1D2A-40B9-AB1C-244DFBC2CD8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93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31C05D6-5158-433D-9424-6E73434D8DF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93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380B478-E898-479F-B83A-F39A9962954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93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5AB7952-B669-48E0-A8A7-28B99C69C26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94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B9673F8-C6BE-4AF1-B707-7EE0581550C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194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FA307C1-CAF3-4A07-9668-93BC95057BB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94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692A81B-5055-4EB8-A911-626A0DB6E61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94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5CAE2C0-1D07-43D9-8E21-EABE448C8FA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94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0E88C4C-B717-417C-9BEF-E49C1565985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94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6CC1864-7EE0-4EB9-85CB-478E45A716C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94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FC1DFF6-6C94-40DE-912D-528BA5E9B71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94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9B7E86C-E1B0-481A-939B-978C52CA04C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94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B4E3CAE-913D-433B-AF8F-A85DBA5DF56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94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CD618F3-3A0A-4DAE-8401-69244523714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95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F55084B-7B53-43E6-9163-11139646965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95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9C647B8-BDED-4967-BCAE-095CC639937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95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4A84254-E10C-4FEC-86EC-38F6A1DBEF2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195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58DA30B-7EF0-4E0F-807E-149D4CCB5A8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95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2C9D7D1-EC36-42DA-8317-27504E7165D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95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50D3F82-B992-4D9D-BFB8-881390AD620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95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1F0A285-F172-42FD-8C14-63E62E7481A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95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C7877A8-95D3-4AF1-B0CF-B0B552A32AA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95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A2C7A81-F75C-4CAF-B0FB-B6AA2AFCA1A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95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B389CBF-E830-4B59-AAB2-94ED5F355D2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96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27CBC45-3704-425D-AD99-10B3D33A39D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96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6E75757-7F24-4736-8BE5-0EAB4D38177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96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9D291A2-5D0F-4CD2-A648-D95EE70155B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96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7E7694B-BC21-4F9A-85E5-2A01049C349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96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7B2295C-EFB8-4692-8D22-DEB1206FDE2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196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2EF4D69-8663-4DC2-93DF-E0FE88FC382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96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62EF295-2121-4F0B-A24C-904C65F1C24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96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1EC1360-EED2-4F8B-B8D8-873757EF05E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96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2BF2F44-EBEF-4691-8235-2C18BCB08A5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96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BDC8D72-7973-40CC-9FA4-59EEB0FA792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97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00B6270-8F01-4F1F-BCCC-7B72B5BA61F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97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50AA987-D695-4A1F-B67F-63D52F9D960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97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D0A09F1-CF07-4AF4-BB0F-3E37F3FA7E0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97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F599370-C079-4A37-964F-D8567BD93AD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97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29491EC-2B7F-45A4-A53C-1A431183B89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97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BD3BA0B-B3C3-4350-978C-66F99905E7E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97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B682811-5297-4E0C-9D1D-9BACD22B2EA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197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EC1BED1-B19A-4085-9CE3-5FB78420F81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197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A181871-5B76-4EAD-A22B-D3866176E57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197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9498BB3-47E6-423D-B5D7-FB90D531C48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198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5F73153-5B76-42D5-9C35-2E97B29AA1C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198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3ACE8EC-0810-4068-8452-69EA78DD24F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198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0B2D4A0-7D9A-436F-AE90-0463647CE68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198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8A84377-A92C-445B-B52F-838F80A438F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198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005E159-D204-41FF-890A-2AE3A8ADEB9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198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A0EA346-066D-4CF5-9CBE-113FF26175E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198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33DA98F-F09B-43B3-B440-D43BA031F68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198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97A4F3D-013C-4580-B3BD-A6F747A0845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198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FB9484D-0E01-45C6-903D-BC8937375F3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198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941F21A-5BD9-4CDC-9DA2-20A8153F0992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199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CBD8A59-8A68-4D40-98B1-BF940ED20A97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199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BB2A9E4-16D4-4670-86F4-65CA5CF1E41B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199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3F23C62-08B0-4E76-A5DB-273D6862421C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199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63F4305-3828-4B52-8ED9-02F38648D9AD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199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B349277-AB7B-455D-BF32-F3A2EE9BE920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199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A55B893-F90C-429C-B47C-7CBC1708648F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199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7F52E87-E240-4E28-8345-9A76F18485EB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199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A3B0308-58D1-4510-9363-A62C33020858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199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1218721-2EF9-4656-9252-0672BF8C604D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199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8CD299C-C220-461E-A56C-76EDDA5F5B5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00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007D26A-1759-44D9-8593-3131E1302F1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00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0B707FD-D306-4AF0-BF83-785A6A37AC3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00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8F0A80D-C64B-4C58-B8D1-C75997BB7F1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00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BBF6FE4-9132-4D70-B189-6684DB91045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00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C6B4695-DD9D-4BAC-A6F0-1508D437095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00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A319527-F9B5-476E-8F17-D88BBBA8E6A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00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8394878-78FC-4612-AE8D-E95BF8A99FE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00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8CD43FB-5F63-4503-904D-A0775674AAD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00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0912271-FCB0-4D79-B5CF-18A4CDBDA43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00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1B2D64B-B7FB-43C4-B3FB-B73582930ED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01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20927A0-1C4F-4FFB-BBC8-BE1D7505163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201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5FF31BF-413F-4D9E-B4BB-F541162B3BD0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201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FA19D10-4C88-448D-8DFA-E4CC62264C25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201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31D357D-0D93-4078-A324-DCB40F3E7AA8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201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53C0492-C88C-4EF2-B1D5-C06A2A99A220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201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75B9AA0-A9AA-4B76-9B81-F34DD2BF6602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201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FE5AA80-1317-471A-A7FF-B89CBBB4BF99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201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E67D4EF-5322-4456-A66B-9B1284C31868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201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8819205-710E-4B54-B526-66FF4C7CB9A3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01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E2AE154-7FD4-4274-B505-10A51162F0E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02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A7EDC20-6ADF-4611-AFF7-5AAC4AE4BB5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02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73911EB-6102-48CF-A9C2-5C3A94C4BC9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02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E5FCD94-71C9-4463-BA3E-DFF3B476AD3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02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3C98076-1758-4811-9D27-30E28A0E95D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02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BC48584-3C11-4A52-8820-C470FB00228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02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A97E9D6-537E-4CF1-8073-2D200BC4AA9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02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1A9644B-C887-4782-8E65-52E0D7BFB26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02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2C7D2D9-E6DF-4BE9-896B-DBACAB40AA4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02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1B6ED11-E84D-42E8-B8FD-38376A6E1E3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02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CC7CD1F-3177-4A86-8D92-4CEFBB60D6B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03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72F3126-B97D-4D89-8A83-E4921FDBCCA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03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4C2DDB8-51B1-4840-B093-14D0C1F91D5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03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25D3204-0C0D-4EDF-A3AA-5FCED7C597A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03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7E6CEB1-50F0-4CB4-AC5C-8575027B4BE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03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56150AE-EC60-441C-82C9-20AC6FD5ECB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03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0CC9858-D924-4D79-87A6-96E4D843039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03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11B1434-1043-4508-98E6-D1BB4B1E4F9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03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B263723-1BED-4ADE-87EB-F1B8E132296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03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AB98B1E-F8B0-464F-9BB1-1C3300AB7B7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03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EBE51B7-52D9-4DFA-A1B8-E360A2EDAC7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04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2EDB882-6372-4FE1-9469-B2CDAD670BA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04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5CB5A7C-F689-41A5-9425-5AB723EB9E0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04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80FF7B2-A0AF-4369-A25C-2520EE95B25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04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41A7753-9505-4593-B651-E5EF7B3BA7E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04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419AA31-3040-493B-961D-8BF82EEB5E5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04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223FAFB-C89C-47FE-8846-35114FAF2EF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04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B7CFB8F-28FE-4CDD-9DAA-A45534290C5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04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0455386-F836-4DB0-B4D9-0DB5A0E67F1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04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1A03B8D-D103-4501-B972-3AD8583A04F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04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020634B-2138-4F34-BA13-335F4EDA1CC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05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3477581-EA2B-4B14-B15A-037EEA1E02A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05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ED21D1E-8165-4293-AF2C-CC387260870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05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56641C5-BCE5-4309-81D0-1304003D052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05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9B08346-E5F4-4A04-A107-E6CE9A33C41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05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3DA64E1-BCB5-453F-8C87-88FEA94E85E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05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203FEA8-0C40-4544-B489-87321549774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05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9335EEB-0D5A-41ED-9FCC-F998AD63ED2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05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703CF3D-4B6E-4902-BD54-41B87ED9CBA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05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86410C9-17ED-4025-A67E-E1861026737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05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3947B71-0F14-4EF8-BF5B-4E2848AAD2E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06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D0DE510-A6FD-4001-98AA-4302EFA9783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06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8FBAF27-EF78-4A5F-B566-B126D0E4201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06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1C8FE29-4883-404F-B7D9-F28107DC8BC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06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633CD43-056C-417F-94A5-509B937EE43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06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C9052B4-4508-442F-ABB0-939346E1016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06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AA0286A-88AC-4937-90AE-A01D3D88896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06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4C16CC4-C501-472C-AD08-67FE03AB2DE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06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B0EB254-F5E5-49FA-A5EA-3F3D8F62721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06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CACE2A6-8E87-46E4-A53A-52D2FC39D22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06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271B68D-FFAE-42EA-AC3B-FB01B37E892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07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371DB1B-8115-4239-8D40-239A4F6E3A6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07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F28796D-6CB7-4E5E-A003-D26A60A5730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07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BFE07B8-DF17-4BEB-9607-0258306A387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07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C837D54-F085-4408-869B-82014F8FC86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07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6DE191C-FFD1-49BD-8BD0-9BDAFD0ED06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07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C04D6B1-DA9E-4409-9349-53D09DB167C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07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F73EE89-038C-4B1B-B680-33039C42C02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07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066850E-7131-49BB-86AF-480767A64A6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07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54B088B-02A2-4412-94F0-70264954D86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07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BA5A8DC-7B1E-49A3-89EE-CDFC01AFD22A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08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860D145-6A5D-4E31-91E5-7BE299F4D1CB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08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8F54AEE-F276-4C02-B9A6-BC0CEDD5BA54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08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8F03011-CAF4-474B-A3B6-9BAA04AF9698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08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F198711-B9B9-4EA9-9BEF-0132C55E8EB8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08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01DC885-FD13-49B7-9518-063EEE956489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08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C343089-854C-4120-A47F-B4DB31C12EDE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08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9963F91-C159-43FA-9798-55DE2CC505EC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08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CD3C8D9-FECB-441A-A12A-F4BABB4644C3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08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B8D6195-C7A4-41A4-ABE5-8AF1D46F1C3C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08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83805CF-1B8E-4D47-A652-A8E27F05997F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09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23F5A9D-4543-4B1D-A3D2-CB67019BFB07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09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694B256-CD49-4C9D-87DA-7C9B3685E53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09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106369B-FC7E-45CF-A5F8-B290BDCF892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09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7AF3AB1-E6ED-4D32-A692-A28456E9487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09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DA7E090-9025-414A-B19E-526DC5F4382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09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BFDAF3E-5DD7-4810-8583-7C584AA9A89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09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AC840BF-7D10-418C-BE3D-E03ABA393DF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09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F050BC2-6070-468F-9DB9-5DAE4149EED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09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3F552C7-D613-4521-8FCD-6AE76711063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09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3444EE9-D30E-48E8-86C9-2149C92A062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10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14328C6-B637-44C1-936C-C7C2D54C2A9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10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9337D85-9E82-48C4-B869-66137B44606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10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1F3643A-E631-480F-A849-563B9BDDE68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10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FAD4A86-7206-4CD9-9D69-1672A0EBD7C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10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6928C97-E520-4654-912D-9FD18F08806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10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3C83E45-C240-4D63-ABE3-BBFBC7A1D43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10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8117D48-0BB2-47D5-90CD-0BA54D03CD7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10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58DBAE4-F85F-40D5-8AF7-D02436C4FFB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10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D8F9D2B-21F1-4A47-89FB-21A9784DA09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10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AF043EF-1986-44B9-881E-9C7E7F90539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11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42D6907-CDF5-4F12-8AF9-8C582C0FFD5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11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80117C5-5A17-46CC-989D-02343A2ED48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11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1260A57-ACBB-4A88-B0F3-1AFEB85DA6D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11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D5A6008-C6C1-421E-9274-720DB1AE41B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11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A714566-51FF-4BDB-9135-EA7564B951F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11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AB6ED42-85CF-4FFD-B088-23741FE2831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11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57AA66D-AC57-47E0-8786-8A5D807ACB0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11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7E3263A-F588-47A2-A9DF-8FBA55B77B1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11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A5474A7-B9F3-427E-AAD7-796A9BD2039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11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8AB6240-3A00-4C2C-AD7E-E11A4B929EA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12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87B11B2-BFEF-445C-9E78-682B120C46B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12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5DB4470-186B-410C-ACC2-552884BDD63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12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7091695-9F8B-4485-8CFB-459F8625109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12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8F1B91D-926C-4D4D-9686-057FDA91E75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12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870A076-7576-4E88-B016-4E6206D53CA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12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937F18A-8A60-49D1-9FDA-D686A142ECB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12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0E418D3-BA29-47FD-8AB9-105E128FFDC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12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E937479-BFFA-4276-B6F4-9885D4524A9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12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716B677-EBDC-48B6-9DAA-4F1B76B50D8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12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7230A22-B3DC-466C-8C39-1C52E26EC0C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13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E563345-CBAC-4F90-BC13-CB8B0BD737C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13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D5D6962-C149-42CE-A3F3-D11ABD1E38F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13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3410C86-6A2B-4D0F-961C-D063B9A8B40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13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FFF6FC7-6278-462D-8424-6F95572884D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13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F974766-8D4D-44BF-B369-79366E7C670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13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30CE23C-A89B-4D8C-A1D7-3FBACE605F2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13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B12A706-13D3-4E8D-82AD-9B1F306CF6E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13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41C7FF7-1584-4D3F-8A7D-9C6503F2D5A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13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4C501B5-41A5-4323-B16C-C723A3E2829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213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81A1AB2-8418-413C-A533-CECF518007C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214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8BE5436-7C06-48C3-8660-AEFD697778A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214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8B22891-BAC0-43B0-80BA-CA30694CEBC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214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9F1D233-2091-496C-A075-AD30A35300E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214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D7EA923-E9FA-4FA5-8E8C-27205A86EC6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214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8CD21F7-1613-4DAB-811B-BD87B9426FB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214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8549F06-D99D-4A15-917B-8EB819BEE90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214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EE38757-A87B-49E2-BF88-BBDE1D76462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214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E98F58A-82FB-47B2-A21D-0E11816B00A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214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474F22E-87B2-45D7-8902-E01FEB631BA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214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A2928FF-BE08-4707-826F-971E2278062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215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13BA0C4-36E9-4DDA-8D4B-FFF48A7443A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215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9ADE300-AB85-4685-95CF-F8BF4933EB9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215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025E7B4-EECB-4C72-9760-AF14301F526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215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59814CD-4DDD-412B-86EF-4BEE2C0300B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215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41B44B6-F903-4CF6-AAED-9E416689D84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215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245650E-37F7-4F42-B5E6-62B7D92216B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215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80AC148-1D60-40D8-A6CB-A26B11166C1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215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7E6CE0D-F335-4543-910D-3865E8CAAA6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215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194674A-2B9B-41AA-8A4F-DCAEDF927AA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215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5ADD6F3-87B8-4226-BE1D-25155FF823B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216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AD049FE-E727-4DFF-A158-D5943D707E8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216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BC3DFB7-E3FB-404D-979D-5994FD41910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216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5B46845-C25B-40C7-88C5-EB2741ADA89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16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C0E7F9A-769D-4DA5-97E6-23E67C2B5CC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16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AF4F078-6A46-4F80-BA1A-2348A5346F8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16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F08D8FA-31D1-489C-845E-5DF3C17CD03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16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138E4F5-B33E-409F-95AF-B0192AA6C61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16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A747035-8C05-4518-8EA9-9C1A4D3DA94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16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D17F46F-FC71-4B6B-A1A1-6A12B846BFF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16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38259A2-FB2F-4A7A-A4F9-17C94CBE568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17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8729868-6353-48B3-99BA-C6E26D51867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17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D2F8BCB-F2E0-4D51-AD22-2C2ACFFAA0B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17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82E6C93-702A-4688-B3B5-A286CE157C0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17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5706EA4-88F4-4379-A5DB-EC4FF8CDBFE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17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9AF3949-B543-46F4-860E-5EF094F9492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17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2A2EEB6-ECD4-4AA0-84E9-9B009470B0D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17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D503373-BFAC-4E57-BD38-FCFBB9B83C9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17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7A7DC35-45C1-4D16-A315-8CE7B05027C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17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FF6F20A-269F-4912-AEF8-83CD6B2E9DC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17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4DA472B-95FE-4E30-B625-FBBF9078801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18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40A08A7-257F-41B3-840E-4C3A8437757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18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539EFBB-C6C9-416E-8DAB-5A120053664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18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6587168-AF08-4149-B6D1-9A5930111B4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18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56D5C69-CFB2-4D3C-BF94-16948C479AC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18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2F0BD3C-0CE6-457F-AFCB-1A8425B61C2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18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42D4859-3CFA-44BC-8645-26E80132171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18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573AA88-2E26-4FAB-8180-79DAA06FE93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218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DCA965F-62E8-4B07-B68D-BCD12B01DA4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218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57D8AFD-6D81-412F-BB10-BE6A11A1226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218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1B3C6CD-EDF9-4224-854E-A54C798FFBC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219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169CF53-F2D6-4C55-9C5B-F1E43695643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219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3351F2C-6618-4C95-AEA0-3F46B076FA1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219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C118CD0-BD11-48B6-A813-66AB6B02241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219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702D655-3D6E-408D-B796-1EF1202F46E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219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F13391B-14D3-43AB-9B5A-8986E36B17E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219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879F8EF-6D42-4914-8358-17B744D2F41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219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62C0160-30CE-4B89-9EF7-C70B3501494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219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85BFED9-B8DA-42A5-B5B1-AD34D495937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219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5B047C2-BF5E-43E0-951D-C35A3A384DA8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219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E2BDEEE-A417-425F-B818-098557E56D5F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220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6EB2C11-7535-471D-A611-43DB7EE8EE98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220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D441331-7782-445C-84BC-5E69770A4399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220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C056546-5B78-4D5B-B946-038F0253E1B7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220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0D3FAB8-B4E6-4DBF-956C-01DD7261522D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220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087A34A-77DE-4B84-9E2A-FB6447BA3619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220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1AE789C-1DC7-4305-8237-D158692AE79A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220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792CC74-C129-44D3-8D80-809BC2157764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220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B812348-13A7-44CB-A470-09E3A4FB25F8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0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90B4F61-A465-4215-BFF1-AAE89AB58F5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0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EE532F9-4885-4087-BDB4-AE876BC1D4E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1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949C60C-2C05-499D-A872-B5B54C1B29D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1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224E54A-7207-431C-A046-02C69A9829A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1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50DBAF1-3357-4A83-8DCC-76E0913EAEA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1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C0EB445-C3CA-48DB-98FC-547B5983563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1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CB31972-7F71-4EB9-BF19-729D1EE5D5D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1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7E8F595-1646-4A69-A99A-9D2E8FAAD10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1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8411AC6-F0BE-4C34-92EE-6C10654276E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1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8BFCAEC-784A-4FE6-8BDF-F0F14FA88DD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1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65B51F4-D7DC-498D-A830-11E931210AC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1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C7053DA-4B9C-4AC8-88F2-10CBEFCF7F4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222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C243975-CFF9-4006-A3D6-E589680E3AF3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222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CF94821-9784-4CD6-99A4-3FD4D1FA8379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222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F23B3B5-5EEA-48C5-AA95-FFE37BE96438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222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E74EBF8-5719-4CB3-9EEA-3135EF4F897A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222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E5DA042-C348-43BD-8946-F46FA4325F4A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222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1DEE74A-5822-45FA-99B5-E65CEE8BC80A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222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0469653-F5DD-4011-BEC2-9DFD49956B89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222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A64441A-E968-46D6-B4CD-0C7A754127A0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2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CD3AE9E-D105-4B40-8B57-986F1578E07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2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D6DCD30-D5FC-44A5-B40D-782069C3B4D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3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A48E0FE-5C1B-4EF3-AB96-FD686610F91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3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AC0AE1D-EE50-4C7F-9BB4-472C80B41A8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3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E51578B-84A3-4E64-B873-B3DC1A28720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3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7AE8666-058A-47F3-B07D-4628C730A48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3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AFD9F76-FF19-461B-924A-87A45893C37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3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EC1560D-A9E3-4FA1-A310-202D716B6B2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3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7984147-8593-43A7-BD9E-0AA9D144B4D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3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2A39D43-ECD8-4F29-AD13-A0EFE90E4D0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3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F17664E-7821-41B6-BC54-985AA9847B7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3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7FA07EB-BD26-4468-AB25-C06A656BD5E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24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0BFB4DA-D54F-425F-AC34-2D1E0E47D07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24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0A1257C-D52E-4FBA-9328-4758A6E42C2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24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6CED54E-11E9-4537-A7B3-2D2157D1947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24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C2B3B91-CA4F-419A-A290-9D9AED28D4A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24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DC7EE6B-E91C-4F69-BECD-F8781D45FE9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24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517F4DD-F71A-4F97-979F-90653F5FE81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24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09A515D-BF0B-4179-A630-127CAB547B0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24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B9F9B84-907F-4E95-A760-E477ED0E906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24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D7C1806-6E02-4601-AA71-E8405DB4965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24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4EE9913-E9FD-4862-A0B5-CB0DDD75D54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25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CBF0338-56D0-4013-A30F-D2B67E34FA7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25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E4441FD-FC16-4EE3-828C-1AF6D4EF765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5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808A997-3EF1-457A-8EF1-A3E657F7BD9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5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26FA77B-10A9-4A91-8D22-EA7943B9CCA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5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9E299D6-5379-4F4A-8027-BA558DF4A71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5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26B505A-B008-41A4-AC79-739B0674B45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5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CAA5E72-393B-4064-B42B-D51FE1A2EA6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5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F633AC7-E51D-46C4-BACD-C520A51E4AE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5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8DF8C4C-C996-408A-8C06-B936E069CED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5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4F5B890-C0A6-4D83-87BE-B354C7B790A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6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13C74C2-7628-4454-B297-7C39EB09CCA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6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A13355D-70AB-4F43-9895-FC1B0CDD38C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6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74C105E-5B1B-42CF-BAC3-5EE759537FA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6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7E4B4AB-4E7A-409E-BCA3-12658798312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26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6C0B848-313D-4DE8-B438-D8B2EE3D3EE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26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30ADA58-07B8-4DBF-8337-0078D0F2E2E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26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0186365-17E6-4F89-B393-4C3C14F36D3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26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4C248C6-F7F4-4CFA-BB31-3B1AD9159A1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26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4C81A23-D797-44D1-A1B9-3CBFEC6A73D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26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4E4F57D-977F-4B3D-9B2D-F2D6842F7EC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27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8B60901-2EC8-4E3B-90C7-EB6F7D40842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27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D5ADCD2-24F4-442B-A25D-0E425542D63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27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CCC3CA5-AFE2-4865-869C-4F7B4E0EEE2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27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083B829-3C9E-48D4-AE80-B08C6A36C0C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27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5C485E0-4D21-4B9C-9A94-4CDE130D465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27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D9EF6F0-CF0E-4A0B-9829-ABB20F7927B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7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47AD30A-ED2E-4721-9E80-EA73992E109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7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9F1BCAC-013A-4EE8-ABC1-7ECCFF7EC89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7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9790263-5B74-44B6-A74F-8E015D48129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7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0754253-3F76-407D-91ED-13B656975A9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8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E2B1A4D-45C8-46A4-AB9E-AC5DA9954C4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8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33B6D9F-C9A9-4A05-BAA0-2524AFA0056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8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3FC569D-9C5A-4BC8-80B3-7B13BDF2CC5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8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61AFF4C-5D7E-4F1C-B191-CD39A66E335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8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701FB52-D9E9-487B-B88D-622421926EB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8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90EF5DE-46BF-495F-BAEA-AA08CF67AFB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8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E44BA41-E5A1-4EEE-AC12-D94ADD98F58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28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32D0684-CFA2-4486-8AF9-DE0AA9E7C13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28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91770BB-4AA2-48FB-984B-46C2BB2E34F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28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2182C63-A558-4EDB-83F1-FE244B555AE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29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7BC7EEB-67A9-4FED-8F72-72CAA384D2B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29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617E472-BB7B-4C3C-80B7-47F2A7BC166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29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2D5F689-C835-4653-84C9-A9A57F9A430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29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6282623-706D-423B-8A4F-E633A0AE450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29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48D3368-9822-4BF8-A197-BDB6AB958C4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29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8B6A9BD-A39D-4E4A-84D0-FC2D553A3BC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29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FA7282A-2EE5-4492-A959-36616A9BF5C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29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996D5A9-01CE-4505-A40B-74C1550A12F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29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8DE27F9-8919-405A-8A03-E74025B64DD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29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911E8BF-DB0F-429A-9DCC-F07EAB77C1D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30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2D04BD4-6D87-41ED-9A4B-55FBBA32E08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30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7183186-2544-4B63-B599-EF4EA56883A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30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0B7D2F1-3D34-4B3A-967F-ADBCA6B1E2F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30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3023885-722F-4F2E-B6A2-273ACD45023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30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B3C0DBC-DD33-4F3B-A795-2B238593682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30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A564CA0-A294-4E21-9A4D-A1B9B6578A8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30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4CE5A76-7012-4F60-A869-8E348EB2A51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30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687A0E3-BD17-4F42-B1B9-F68983BE330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30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36DCD8E-0A5E-4329-8A6D-C292D33DB19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30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3CA9DF9-0DA6-4375-AD8C-DD40BE4993E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31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093C052-DBD4-4402-AFB0-EBF7B66BB31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31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6F3E600-8A55-4C6F-9AC3-7CE84FC45E3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31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63CAAFE-2BE2-4F88-A618-0FC5F7E7D9C2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31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0857014-B6B9-467F-B5DB-0D39F115EC7B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31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598B3F6-B424-4CC3-B2C5-53673CDB838D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31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A7B531D-7027-4949-9DB4-43BD6A195023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31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2E01348-2FB7-457A-95A0-6039B870A4DC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31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564B3AA-D5D5-4CC4-837B-8D55BBEFA76E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31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6462CE4-9F4D-4C6A-887D-5F22BC3846AA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31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52FCBD0-C637-435D-A9BE-05B706E99573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32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1553CC7-4AF4-4B1E-9BE0-EFE66A78D724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32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BFB0B12-1273-47A6-944F-9B63A4AB2987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32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E356593-1F4A-4FF8-93A0-26ED42E97C1B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32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ECF9D30-CD25-4EB1-87E9-4D7FB2EF59BC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32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84ABAF1-BDCB-49B7-BF19-9799D96ED17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32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4392413-ECE7-4C76-9D5C-BAE7DF08F29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32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8FF306F-663E-4ECF-87EE-5675AB1AE76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32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CA31DD2-09B0-4F70-96E6-5EB22037C6B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32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F75B63F-355E-4306-975E-8AC6094FDD8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32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5033678-32F0-4739-8CD5-C0322E8DEAA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33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C008893-C830-495F-B6F2-C71DC8E85F4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33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C06CD7C-6382-4109-A547-97874B233F6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33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3926504-6872-4BDA-B88A-BB2F29AD96A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33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A3948B0-8500-4288-843F-B05E438832C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33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78BAC67-C15D-4CD3-AB28-64F4C8C111E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33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A39031A-E0E4-44B8-971F-9415FBBF2DC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33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153BA9F-AEC2-4A01-91F1-60FF5A1B422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33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A974A13-7B3F-4255-A9B4-DC42128DD22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33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D660259-1D9E-45B9-B8D6-7A063B19F74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33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F542478-C2BB-4FAD-A225-4679DDD47A0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34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FA164C4-67F6-4443-BB85-955EA31135D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34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19579F8-F747-411D-9510-47F32D9595C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34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6EB8D1F-CB00-4BE4-95DE-914650686E5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34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BAE2F14-F528-427B-BB08-77B99388B06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34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4A7890F-C782-4C6D-8075-875872239E5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34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068ADE0-A323-4454-8187-A372EC6E3EC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34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C419385-A651-4961-ABED-CDA276D50FF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34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6A1C5F9-7845-4983-9352-CF1424CC816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34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7B6EDC0-4187-415D-901D-04DE4409B46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34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57ACA26-3370-4B65-9BB8-F891F847A0C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35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F7E4F51-7EE0-413A-A2E7-DE621BAFDE8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35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1828F79-84A6-4BF0-9DC8-62776662A83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35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B488253-004D-4397-BF1C-B47BCDE39E5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35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3451D01-8553-42A2-8677-44ADD222A29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35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20DD1EC-C611-4083-8CD1-D86471849AE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35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3EE1A22-75DD-4B6C-ABAC-425FBCB567F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35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6DC764E-59F4-4D5E-8101-E505A4AAC62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35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69973DE-7F74-46C5-B24F-44BE2F2B37F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35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7A96FA5-E4C9-4C17-A5ED-E1AD8B7D447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35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A6817F1-A2AA-45B5-B768-487D7A4DDE1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36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C2CB836-60E7-4141-BFB5-B64DDBCF304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36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307A20D-6A81-4229-8C34-F07E4AE830C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36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0E44479-7EC7-466A-AAF2-DECBD877A3C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36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43634A3-EA2D-4D36-A8EA-FC2A8F70DD8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36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E3AF401-F793-4614-8DAD-EF1D71896FE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36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BE31008-C367-42F4-8AF6-296FBC0B6E6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36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A5E58F5-746F-4F82-A9D9-85308FDA3B1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36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1876AED-14CF-43D0-8FC5-76591BF063D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36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4C9D769-8913-4711-8356-1582B436C36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36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1764E96-53D0-4DA9-9AFA-DA2725237FD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37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C2CBFBF-73B0-4679-9084-78208F04292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37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F55A15B-6254-49E1-83F9-D03DCF97512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237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D0B94C6-AB97-4E0E-A48C-47F088BA690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237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71CAADD-0078-48F8-B970-659D903A93D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237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2043447-B7B8-4F16-B273-7420636DC6B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237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17E6587-01B7-4DF3-9A5E-A75E15923DB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237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BD9A356-A668-4373-996E-0BA2C57F671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237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E930AF3-2004-4C53-BB51-39B01075C89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237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E36D8CE-D36E-4752-8AF0-48B3DC43535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237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C1D9B27-6383-4AD3-BC26-B473D434D12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238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D21AA6C-4D65-4EAE-826E-F85FF184D7E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238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8D3EF76-5CCD-4857-8F22-FF1BC5A3EB8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238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CD844AB-610E-4518-9388-E3A5120FF72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238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9FC9CA6-E57F-4DEB-BA90-A44325BFBA8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238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2329253-FFDB-45A7-A9F4-3C04D1E05BD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238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CDEAF24-9911-41D9-A09A-1406B5BC1E2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238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7F93E49-184D-4FAC-810D-32259B28668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238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7DEE7DB-FB02-4F5B-BEBB-2EC6209A449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238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ABC6A39-4BEB-4656-B298-BF76EEF3CEE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238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3BE2888-7573-478B-A02B-5156D80E250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239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DBA1228-DCA7-4828-98FA-F06E2FAA0DC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239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2A4B958-00C2-4536-AD5E-B800540B11C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239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464D275-1A51-4211-AEC3-E5B31648E82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239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6C35FEB-0CB4-485D-9CD0-5E7E1B1D2FA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239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8F5658C-2E8A-4EEE-B800-AD16A95D5D2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239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9E64F3E-4784-4D56-BCC2-7FCAD5F3A85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39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C04A799-6FAD-4BB4-8467-6A0AD034886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39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C8B22F7-7BE7-4BD0-9D5D-DFE2BFFFF10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39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E31E5AB-57CF-43E5-BFBF-1C4FF6F3F79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39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D94A088-D72D-4AB5-8C63-CB95979F0E1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40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18B0928-A8BF-430A-9665-FDFAF0F9714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40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C51F111-3B17-40C5-9F4C-C3E5E7FEDB7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40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BD42C73-2017-4ACF-88E5-9C3ADF99CFC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40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12AD365-6BBB-4E16-A481-3CAE1D80A88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40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0E52787-5AEF-4B07-9F26-077F0CEB6D6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40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C4B0B15-3ED8-4E59-A492-A6D1ECAA5F0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40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D2B3974-AF56-4804-89BF-822101107A7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40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97A5EE9-EABF-4593-8E7A-EBA0A583831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40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A4AD20F-1EC8-4927-AF26-D2850C70126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40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813B773-4F34-4E72-84B9-373A8230458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41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E3C4591-4E23-4BF6-ABE8-462BE64E392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41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30C83A1-BD5E-4372-A906-67B12CB7C49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41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E20A298-7B24-4A8B-8C44-F1509A73A54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41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7254895-57C6-46FF-80D9-DC414A74B8A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41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F11292D-18DF-44A0-AE72-35199391D95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41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BA52497-41C0-4806-A318-81252D3712C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41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A21ADCF-A5F2-400F-B0F8-B170DE56E31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41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6B8157C-0308-427D-8466-98DD6FD48F8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41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5CFB0E6-8A0B-43A6-BB82-8C92DF77F5C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41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513447C-DB02-4982-8EA0-2D583CF6AAB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242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02F2A26-20DE-4874-92D1-F20CA904E34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242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3987ABF-2E7F-499A-B649-1A39E91941F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242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4553611-B567-4756-B90C-B2F2800C142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242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41DDA0C-810D-4E56-95C2-009AB647D04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242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106B651-04A1-418F-9009-55AA79146DA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242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48A8063-7AEC-48AC-95EE-1C187F7FD6B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242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8AA9145-4C27-47F0-8CA3-B1FA77B976A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242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976FBFC-B187-4DE2-B175-DD40C28AE13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242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8EC8722-FBAC-439A-BB7F-1BE55C78F9D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242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F8026B2-6693-4D58-BB96-6640348DCD6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243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E2652E2-F718-468A-9977-0C6E20BB846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243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E2562E3-2C24-4726-8977-3FEDF0547785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243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B10B982-D872-4848-9B09-6B706A979584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243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1952098-864D-411D-8D0C-907D6D10AE99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243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C5C3C8A-1F98-43A6-8893-8BACA3A9644F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243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A23B750-8790-4925-921A-655B59D50562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243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03811F4-F34B-407D-8F12-0DDB4E8CEE5D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243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7FEB1AF-EBFB-4125-94F3-4E7ED55D6AFE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243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017D7F6-6B9A-434E-A936-24AC18FF6D4A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243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DF8D908-B619-4848-936C-76EC50104B57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244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1D47491-4EFF-4AB8-B5F3-CC99310B3125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44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F9BC016-EED2-4B6C-B3F1-C941B5A04B2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44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CCA3A34-B01C-4AD4-BF8B-CAD58450A0F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44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A8A505D-1F80-46A3-A953-5EBEE8E62EE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44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E2104AF-FEEA-4C9E-9572-030D4643C46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44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5A3CD0E-F39D-4911-9B29-9430DA81E5C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44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B80B425-056D-4827-B049-A7E4843DAE2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44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0E5484D-4917-4578-A386-3DBAC54D2BD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44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208B0D3-EA0A-4AB5-B02D-095469214F6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44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9F45BE8-B945-4711-9F90-89A40494B7D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45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E5B9823-01C4-4566-8E57-E9F10797E4F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45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04CFA7F-62FB-4EAB-A2F3-1585C85E870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45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ECC6510-66C5-4758-A73D-2F9BEFA92E3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245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3CCEF15-9144-4B4F-A29A-D1AD9481693A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245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8184399-F239-4617-868B-D0B5CD94ECE1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245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38F09DE-364B-48D0-A35B-4467A89FA1DA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245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81A43BE-14D8-479E-9777-BEE24397F261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245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F89F2B7-3C6C-46CF-B2B0-11A505DECE9F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245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4B656F3-B378-49F9-9BA3-9D201111E2B0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245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7006F3C-CFAD-413C-8DB2-92E7C58C89F0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246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2D08705-D964-4685-81BC-D11365F9472A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46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543F91B-3618-478C-AA0B-8593E17EA21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46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DF5C15D-D95C-4A81-B743-DEF38C4676B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46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CEA26B3-366D-4A99-8309-CE26988F050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46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F86D196-350D-4427-9908-B298F7DC191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46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05437A5-19D4-4606-A9C9-C749716A624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46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6005F4E-CACF-470B-9D6B-78F7A077724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46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CE54AA4-FBC8-480A-89B2-C25C7DA72F3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46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159FAEA-7AB7-48C5-AF38-C7054DBA805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46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D3327B1-C424-47DF-A9E2-3B7FFD976F6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47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F49E579-6F35-4A5A-89E5-B36369DD006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47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AF8354F-E33D-4310-B1C7-AF5443C5371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47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CDF2048-7754-46CC-B9FD-1C9B8DF7CDD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47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ED66654-F3ED-4258-A19F-78C35D65896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47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588FAB2-D046-4C94-A846-071B28384EA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47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7280136-5212-48E1-916D-4952EDD8EAD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47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67A0FEC-88AB-4404-A52D-5813846CBF7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47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4C44292-083F-4D1F-A78B-660C7F26F6E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47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BDAB117-1E3B-44DD-82D5-E1773B7D8D7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47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5F8D650-101A-49B5-BF62-9A9C5E12401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48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6CBF3B6-2D7F-4B04-B95E-E2E51FBC024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48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D4BD46B-565C-470B-881E-82CB12D02AC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48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6A4983F-5580-448E-8A2E-8BA75BE8104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48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B0B7EEE-A4E0-4BFE-84CB-E79D1CB0DE3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48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419ABC2-24D8-4D15-8F5C-227878C57FB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48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4AEA03A-109C-4B68-8F12-E6EB1435747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48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822B987-3F2A-4535-9FCB-EA45C545B06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48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3EED56A-832D-4078-8A9B-FA93746B257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48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DCED35F-10DE-48A8-8298-EDCD3787FF6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48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CDC9544-0283-4DC7-A62F-8F0A99B8DD1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49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F315B94-7E0B-474D-9DE2-12C8A3AB67F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49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008D6DA-A246-489B-B51A-8253D45FD31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49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6F97E1A-0679-4709-86C7-87D760A8648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49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0A5F75C-26F5-464F-98C8-EBFAF4C6EAF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49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78E2864-47E6-4F91-AA51-2CF3EE8F5B2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49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2C403A6-A5EA-4CC5-B48E-5DA3C4F301F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49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48A2FEE-8B0C-401B-B9C7-33CB9046A6D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49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34119DA-ABD3-41F4-A082-3904E3C41F0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49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59F6A98-987F-4D87-8F33-15C3B6BB939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49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A253A87-651F-4F33-94D4-9AE85C37EA6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50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B9C544C-DE67-4336-845B-7E90B16F6D9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50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942FF24-E408-4C3C-AB87-66DFA3DE670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50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139F5A3-1351-4A5C-AE31-865800F59FB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50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4890886-EEC2-4320-88B7-353A6C5CBD5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50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DF21550-DEC5-48EC-B680-3982B85D4DD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50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58008F1-13CA-47CD-BA03-93FBB9D5568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50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EEE4018-5965-400D-9340-AB04CB41F9C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50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B196E30-6E83-4BF4-9E17-BB6DEFFEBC5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50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9F0A1F8-F17C-4753-B3D9-746FFE43102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50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A72BB12-4B43-4245-A725-C80539AA740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51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7ADB6DC-FDD7-4FCE-BF8F-6A42BC2F32C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51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2623A65-40FA-4532-864D-816062CEF35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51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1B7A06F-8014-4BAA-86C8-B1343D463D5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51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4024051-29DE-4A68-9964-252BE613647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51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2448FB9-F435-4721-896A-A55E22FB4DD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51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A40A15A-D0C5-422C-A649-C7AA8E3999A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51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FA602BC-FDA6-4E5E-B9E6-ECC43A23197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51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C8A3FB0-8873-444A-B025-EDA79A506B7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51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B501D76-BA90-4050-85B1-2BEF8E30296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51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95B127F-8864-4862-A0C1-8A6314AD544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52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5499B09-26FA-4BB7-9245-212AEFEC503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52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B21723E-FC92-419C-8403-3587334FFDD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52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59E45F4-0338-46F4-AEE1-647F6C4242F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52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2EEA150-DD56-45C5-A8A1-E07037E379D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52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7499E84-0C87-4DA2-99BF-C0B0392A643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52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699979C-8B8E-4B1E-B2E0-B1A5ECC0DC6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52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19BD049-A0D4-4E8E-B4E7-93BE27433DC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52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F6E035E-4198-42FC-8B8C-BD89B16ABA0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52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25CA55C-473D-4FA4-BBDF-D6FEED61017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52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51F4555-FCC4-406A-88B0-47E30DA8964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53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FDE7786-E9FD-4BB1-B59D-E6868DA82EB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53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BEC55A5-9A97-4BF3-BE82-949B494E420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53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9879CCB-951C-4663-A88E-69504F3B3BC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53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7E4112E-9C76-40BA-B399-38B2A5F470E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53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3D1C49B-2B8E-40CF-BE60-D365338CDEE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53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678F894-E4AB-41EA-B320-D96AB3E5C24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53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01C06E7-716F-46D3-85B4-F5ACEFDFE1C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53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5244339-C033-479E-9C29-E3B65323E86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53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190112C-8389-4924-83E8-C682C506BAD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53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AAAFB8C-22DD-44CE-8846-FC6A961F4DC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54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08A9C9B-5DC6-4458-9C5D-321887902E3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54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07E5CEF-32E4-45CC-B91D-52629A03A19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54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A9DE120-49FD-42A4-B6F5-01865E8D09A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54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EE6EC81-D351-4651-BA78-958E3A02347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54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CC6FE94-8561-4702-8FA3-0D82D236409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54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84A7025-0C67-4B40-B8D6-D3E00313698F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54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3FE7A45-0939-4BB9-AED1-A1FB81709F9B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54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34C0657-331F-425D-9C0C-EF9799108EB6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54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9FC23B3-F5FE-4E3C-BCB3-58A3841B79A5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54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5EA0496-A211-4F7C-A7F6-41A16377867F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55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5401663-0A44-4582-A368-D9A82F78C53D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55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E293C46-1799-431A-ACB9-55606D9BE5BC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55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6C29857-8FC3-4BE0-8E51-767DAB1A55AC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55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757E226-A905-48FE-8542-FC86B1605117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55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D5826F9-83CA-42CD-9D11-F8F97E484C58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55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F518528-94A8-4A3C-8666-342E6CDBC473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55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0D35AC5-33DE-4E31-8733-6009B128AF1A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55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C7DB45C-AD9D-4F35-877E-3DE2796DBFA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55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F67553F-14F8-48E4-8C2A-14993034468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55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76270CA-7ACD-400E-AF98-D42A3A8002F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56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46B0514-E45D-47F6-B280-1362E1845AC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56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84D8476-7492-4F4B-8438-DF7123DC3E8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56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25F1CF5-F23F-4E08-9933-1D64FC57DE7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56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512E0B4-9DA9-4055-A0C6-EEE7F845782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56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E067127-5864-462E-8E34-43D60F73A43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56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992694A-1635-4AD5-803E-63E0441893F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56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E23A52D-C8AB-41F2-B12C-2CB6BA6D32B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56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C125EFB-5766-4AED-BD21-ACB3325FBD8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56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E676D93-96D7-44A5-AC06-24032C00FFF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56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F54963B-8E59-46A0-8C23-9AA2A42E4E3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57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12899DB-E2FB-4CA0-895D-D2BEE53BACB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57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A3B8BA2-A538-47F6-A907-C3D65EC92F8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57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1FA34E9-3092-4769-9CCB-695D41733EC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57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A11B980-6979-4584-B071-A7153505F0D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57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63AAB36-08FE-4E42-93CD-89C08A6563D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57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5433ADD-0939-48FB-AC47-67D12954F05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57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0D32194-ED3E-4236-A5A6-B5694A4783A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57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79817A2-AC5B-4F04-BADB-1A20D35C0C3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57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D369485-806C-4303-84B5-3924C90B240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57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3B0F1E0-5B63-4699-B26B-4F589D3ADE7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58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45E8C13-A386-4A3A-B377-2E71CCB2FFB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58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0A3E2A1-8940-4878-9A78-8C58E7D3430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58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B124919-84CD-41B0-A89C-12B3BD10597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58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7EB220B-97FD-4DCB-9DC2-9E975D91363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58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9C7760A-E45D-42B4-9535-85007B7E6A8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58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7D521AC-4DA6-4E10-AE37-B69E1B64CE4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58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4A6CBD6-8415-47D2-9F7E-5DA6BE6F84D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58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5636467-5371-40AE-8320-62289FED374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58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67DD0B6-5756-40C7-83D1-2E5A7ECD97F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58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9BF77C3-0BBB-4562-AB17-F689C4489BB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59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9509EBF-11BF-419A-A189-61D53FC2414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59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2D4B36C-0E56-43C6-93A3-5DD53E5B18E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59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9F31F7D-C3E9-492B-8C7E-5270560B648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59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BA07BF6-0AE3-4656-A14A-A200947105B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59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F378621-6250-4B4D-BBB8-13315C31443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59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2416237-9AE4-4D95-B610-1D364718CAA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59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2DA9A7E-EBB8-42EF-99F0-59276DB6779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59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079A862-07BE-461A-9180-8A887CC49EE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59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B3E93FC-8168-4626-9EFA-37BE7A920D0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59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D41F3F4-76BE-44CD-9E33-F93A9F94595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60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F4D261B-062D-4638-9A01-CB95B081865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60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8FDFBAE-0333-479C-B5B9-C80DE2EEC73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60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B63B018-1843-4E01-B967-19BE351F948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60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B3D535A-E2B3-48FC-A413-9D633EA9CE8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60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B4A4290-4E5B-4641-A146-521A405099F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260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4616BF2-E143-40AA-9CDD-8F7A4D765C5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260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299B3A5-6E9E-4747-AEAC-6B9D1B35A43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260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41752D1-5647-4263-B3A4-FE2AA28188B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260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6953B3D-C522-42F8-8BC0-2AC47C4F0A0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260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E188D55-23ED-4CFC-8021-23CC7F68429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261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70DF17E-D03F-4442-8651-9006E77F354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261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45AE034-D3E9-4E2A-9D72-C8E6C7AEC84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261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7C5ED44-96D4-474E-A43C-40677688DD1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261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DFEF8ED-93C5-4379-8915-9407C5F164B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261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A61A8E3-74CB-45D7-A87E-04AD715A736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261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06A5F88-A4B1-40D7-AF11-250E86D06BA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261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E717DB0-3489-43BD-9A55-2FACFB9C049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261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B6D257B-0BFC-4842-95E4-96C42478DFC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261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C061189-9580-45A8-B8FA-5A761C31A4C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261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8FB7C61-1B3D-40AF-B003-6BF14CA195B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262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94EE72C-47EA-4739-BC91-CFEF80FD23C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262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99F9856-6970-4AD6-A7E3-38CB1AB9070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262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A06B980-8C33-4BD4-BA78-BD43BC494BA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262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C1FB15B-B2C0-4CDA-82BF-77AB075D0BE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262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8DCC4CF-8B57-4ECB-8F55-61F25972F14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262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3FC51C8-EE28-4421-ACEC-244BF83DBCB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262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AB39E52-227A-464E-8653-DF1A85C4D4B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262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CB0B652-790F-4BE9-BA08-7CBCD5CB7E8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262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3CB31A6-F849-4918-8E0C-AC7B0856D67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62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93742F4-24DF-4687-BF95-0DFAAA54C0D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63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D7FC4D1-3158-4D0E-87EF-71F55A5A967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63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50690CD-A82C-4419-8903-D81FB1684BE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63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83FE8B1-D40E-4359-85EC-749E4A863CC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63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D2C8DF4-5DDF-4416-9096-FEF7247378F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63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6FA454B-EABF-42B9-AB52-E47BADA3039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63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3DFF7C4-BA84-42D7-9B19-A8C885345AF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63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090B9E5-1FF4-4E93-A3E7-242D3FD23BF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63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8E06309-41CC-4A41-950B-514B865D4E4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63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9F0B36D-EFF7-4A65-AFA4-FC699E33D94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63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761BD35-2F09-4E26-9801-8B2D94982B3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64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E804E36-819D-466B-9522-7D7B5FB68FF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64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90A76E4-D1BE-4E29-95CB-226C8E8EBBF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64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71CA7A5-B604-4B34-AAD7-BA511E75A76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64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35CE45B-00C0-4B05-ACF7-B79A34A205F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64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C72CF3F-25A7-4C16-8AFE-39488F94A82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64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DA154BC-7367-4DFF-8720-83837AF36FC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64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D3AB760-CBA8-4291-9CDA-C663FC6811F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64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1C5505C-F3C8-4B07-9F85-7E43F93AE06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64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5310C23-2B6D-4370-9963-040E7D3464A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64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8BCFB51-BA8E-4186-86B9-B8FBA227B78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65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CFE94B9-0B86-49B2-980C-5E8994BBE8F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65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196971A-03F5-457F-BCCB-94E4F2D481A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65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AD79B8B-3DF8-4A82-B16E-6DB1BDD0EC3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265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0666CFD-7BF1-40AA-873F-E6D68B99ED9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265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9493907-A0DC-4D03-A2C1-A6EDF1B0CD8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265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683B872-07ED-4F11-8B4E-19FDBD578CC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265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BB53105-E513-48CE-AFC5-E90A15F0B32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265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B8DB63E-E25B-4B0F-88E1-F972C0D0705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265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6C65396-5EAE-4657-ADDE-4E2CED23EDE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265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14DDEA5-1CAC-40C9-B2CE-F244A3136C3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266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186DAFE-AA89-4198-A10D-369CE68696D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266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2205A0D-A23E-43DB-8D88-050F9110C9D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266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B510C5F-AC1D-45A9-87F7-EDB1245A47E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266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E771C29-A044-4E05-8BAC-869CF5B61D9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266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53A190D-6D8A-4DB6-8633-FE6A6E636788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266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3661833-EFAA-4346-A4B5-04F19FA82E90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266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BBB17B5-65D1-4C9A-9A58-05141AA09390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266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9D93CFF-5286-40B8-87A1-BB7A05DB215F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266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4F77477-38E7-4166-AAFC-AAD5496E9F9F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266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03BD2F0-98EF-4B24-8306-5659A5C14A18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267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10BDA82-2EFF-4833-A683-574B42CBA9F1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267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A32FBB3-FDE8-4CEF-882E-8BF4277780F3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267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F382C88-2687-413D-9BB0-E2CD03216CE7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267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A0C04DE-61A6-4967-B484-52304A43AD17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67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E7FD1C7-6750-4323-8123-54C3D79A82F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67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9DF2CD4-1582-4839-BE40-0A923E6A024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67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97F3A3E-3BCF-47E5-BC14-5AD9F012AB0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67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5B526F1-522D-44C3-9A3C-B5049C842C0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67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72EC596-C6F0-4657-B4A5-BF891BF41B8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67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BEAE190-FF69-4630-A156-33282E18A89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68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4834819-D03B-4CEC-8324-83AD4461341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68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63658B2-1A84-41AE-9BC3-79876CE3183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68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8A6BF65-47F7-4246-A5A0-F0FA0891C68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68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145E6A6-658E-412C-8956-F37F84C6273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68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A6B4F74-2B64-4FC2-BDBE-FB28A7BDA3D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68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B809A05-2302-49CE-AFD2-1CAE192DE59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268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424107F-085B-4C05-8200-FA71A8ED7522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268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B203FF5-6E77-4B48-BCA1-3F73B4C614EA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268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C19121C-9C8B-4A13-A7F1-C5120F7691C9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268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C9D4A57-E202-46CA-B43E-9FCE9BCF9B56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269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F68117A-3E37-4F72-8C17-4039A7EBDB05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269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B4B7F36-5DEB-41D8-B9E2-DE01A71F3C45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269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A55C59C-66F2-4AD2-8652-F3CB2EF49295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269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526EE66-3FEF-4979-9827-FF78FE693A6A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69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26948BD-8B8E-4E08-8736-C250F3116A6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69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EAD9038-E2D9-4F81-A7BC-BE0329B8958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69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9AD507D-003F-4E4D-AADB-DE8DA971A53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69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0554356-2729-4DA9-A0CC-671A6A7A9EA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69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B18242F-5DBD-4F6D-BC07-E4829D0746A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69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01F682F-A4B5-47D5-A300-B02FB674956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70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19472D1-40ED-4131-B3D5-B52F01FB05E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70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7B30118-19E0-4D89-BA21-4EB7CB9F48A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70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9668FB0-7754-44A4-B0C9-C7C38D8735B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70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4B17152-33DC-4D5D-9825-8325CEAD06D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70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B32402B-84CB-4D3B-A5AD-E1032369A14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70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B174E72-B8E9-47BA-997A-8842B391561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70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73F5255-6145-4787-BBAB-3AC198ABA87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70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9BC9639-B760-4189-AE46-EDDBBE6DCA6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70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E1A9D36-B1AC-4928-BEDD-0E95CD34050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70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29D1944-971B-4555-8578-D0A47E627ED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71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8CDCAD6-6C68-4A93-B1B9-BDE782615E8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71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D45AE2D-4D9C-4EE1-9B00-116B960A43C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71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34B468C-2B46-4101-9662-3CC4A956B4C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71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5C7AB88-E880-4316-81AA-1E5A399B6B6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71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C01990A-9EA1-4FDC-B64C-90C13FAA893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71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329265D-84A1-4A88-AFC3-FB6A022526D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71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14B30B1-993E-4AC3-B48C-4A2DE861397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71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7B534D2-B00A-4089-A545-6557C576455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71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567D4D7-8A56-45C2-AC6E-F6203384A4E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71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4AED959-390A-4A49-890E-4C2E464870A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72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166F205-1BF3-4CF3-9CBA-68BB5A16826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72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0463DC5-7B44-4910-A4DF-BE7C4762E14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72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F841F80-CB90-4E49-9CA0-BC13DD3F413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72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4E349D3-B239-4A66-A6D2-8D4A53732F8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72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359CCF2-332B-4ABD-8B50-38DA8EFE1FA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72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848BF8A-F6A4-47EF-A6B2-FCC9283EE9E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72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748ACE6-A436-4A5D-ACAF-0755C368F6D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72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7B0C047-0959-4A50-AD52-CB3DC00AB15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72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09EAB08-7A1B-4ABD-A725-3F9CD6F8EF9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72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72F2057-B74D-47B4-83A4-4ED211DDBA6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73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20737E5-B76B-4CCA-B390-C2DCD2D6D66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73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BE16837-B37D-47B7-A949-EB046EA88CA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73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4ED6216-802B-41A1-8589-6696AAA282E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73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2A1E448-1CB9-49B9-A5AD-0F15CF14E32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73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A14E217-38C0-4025-B743-580227A848B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73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D74A0F9-E010-4A35-9558-CCDE0AC1C31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73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022DF82-8949-4E7B-BB01-09527262136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73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AD8C600-6CB4-4BFB-B206-1F510F0D5BD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73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FE43CCA-203E-4A79-9E70-227B6BF6744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73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2585CDC-883D-482B-96C6-1629E873FF4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74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D56783E-3E0F-4E56-BCC1-F65781385C1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74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8EA74CB-A499-4115-A0A4-0E7E9D758AF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74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9477E78-33CB-4BBF-9995-7B6236C7CE6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74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4FFBEEC-DED3-4AC3-A9DB-B5253615CE1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74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E4ACCFF-742A-441F-9991-A27578027BF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74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B8E213D-61C4-4969-BD93-CEC6A424079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74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6F568E3-0951-4D25-8F8E-C79C40D916B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74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9B9F92C-C279-4C3D-BB69-3DD98E6A9EB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74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1CEDC49-8851-4A17-9695-0F3FC3009EB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74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45031C0-C8CA-4C06-AD69-878201C37DA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75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FFD323A-451C-49E3-A17F-B82FE50A936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75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DCB5CAE-DDD5-4FD2-AEEA-D18D59EEAE5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75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651E4FF-E496-4C77-ADD8-84C9F0D4AAF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75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4FD3AE2-05F8-4F09-A343-3BC3B7CCA49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75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3DBC44D-DD3A-470C-969A-0EF18BF6C0A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75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BBF6AAD-42D4-466A-B2A6-052423F584A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75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26A67E9-E58D-4C5E-ADDE-7F545CA8AB7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75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D31E8B4-DA51-4E4B-B8A2-CC6F75CC4E2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75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4675A70-54DC-41CA-8B17-60DFAFB1CB4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75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7E1EF45-655A-4FD8-AD0A-CFE381B7D01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76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5B9CD30-920F-4320-9DFC-345B30A0F77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76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93990DB-5534-42DA-9B3A-C43B9D12677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76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A47E67C-6082-4E38-8F39-568DB3CA759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76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011CF66-69AE-46AF-9C40-A7E006862EA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76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3D3667E-7C50-4864-A579-3950BB4EA2D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76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B8E20C6-EA99-45BB-9AAE-4231C0DD8E8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76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A1A8C86-3E8C-46F1-BD1C-8A8FEB2714E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76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1B96723-32C0-4A2C-B7C0-4F3FC9E803E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76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F784319-A941-444F-B411-6AD9E341EE3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76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7AB9C1C-BA3C-4F0A-B9DD-C0430FDEE16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77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4911071-6EFE-4225-836D-21C517A3D4D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77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0852AE9-DB31-4D6B-96D5-F9C247F7C46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77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D53F575-2448-463A-A28B-0A6FF4AF99D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77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53DAC53-60A9-4EA1-A5FB-F1AD077B323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77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A792606-0F50-43DA-884F-6951BF42085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77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DEF2758-344F-4B14-B408-777F926E87C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77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8DE3ED6-970A-4414-9180-85C5D4EB9D6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77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03931E0-007A-47D0-AE7E-70F66A21546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77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FFCC41E-F5C5-4E24-92A7-B51CFA5C72E9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77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EA1D7BE-2228-4359-AE63-09EC5D0FAB5F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78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92A98E8-B75A-407A-B2E6-6BDC22C8AA16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78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BC48F89-3AF7-4F02-AD41-EB03AA6824FF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78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9FCFA13-1FDA-48E6-BB08-5E946D73582C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78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77341A0-CF5A-4738-9764-1F574EDB47F0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78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AFF44E0-D13F-40D7-974B-9534F83D7E63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78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0114218-60E0-4DC6-BDE7-1256EC1D3AF7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78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51ABF3A-5FBD-4D38-8689-8D09935B5EDC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78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4D9C66E-617D-42FC-8D46-59DC016A7D30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78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B4586A7-FBD0-46BE-A151-0189E2102404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278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6636DD5-1925-4DA0-9A17-75904893B857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79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6D9E1F1-143B-44D5-9D17-218F629990B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79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01EB090-13BE-4547-A749-0028EC650AF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79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4D11091-DD59-4A0F-9833-43A9CBC3F29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79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D6419F6-68AA-428D-8036-A12F6B51187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79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D0FAD15-5227-418C-8B6F-0A23ECF3BA4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79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14DE9DA-408D-419A-9D47-19EE35A6505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79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698633D-BA07-4A0A-81B0-41626FDDFF2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79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6E22076-005E-492E-9624-4F000327FFD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79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37513C0-4971-4A70-BDC9-F57D84EAAAE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79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733B1D9-24C6-4445-90B5-767945D93F1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80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77243D2-1072-476E-B847-A26BAB0DA0B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80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B2D2BD7-4F95-4CBC-9A64-1F3BAC3E97C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80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D306E6F-BB8F-474B-B10C-270CE3C3BA8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80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E49F215-EABF-4621-B4EF-A5349D8D0A9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80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F758164-C428-4D6D-AA14-E028C5E4138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80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89D20AA-C77A-41D3-A761-72A0F3C55DB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80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222CDF3-B338-459B-88B3-47753769E42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80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784B28A-BB91-47A2-9F88-4DF667AFC6F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80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0847469-78E6-46F8-872B-C7418987AD5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80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C889B8C-B06D-40A5-BB6E-C9D42570A0B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81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7D20A5B-E216-44D6-BF05-AEC58A02EC1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81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6EA1EAC-5F95-47F1-9F01-74C7A965868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81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F9E34E2-E84C-441F-9222-400B56EF929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81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BC3AB58-6ECF-4CBF-B6C6-D7BC076AF61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81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925EE7A-FD11-4B3B-8040-6FF329990BF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81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4EC3D17-0713-4833-ABEB-16F766F7D59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81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8692785-3B2C-477A-82E4-E37E84E741C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81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BEAD588-912D-4086-96C3-1B0E70D03E3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81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9A944F8-289A-43E8-9838-9F8608775B9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81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E8EF7E9-E47C-4D02-BDE4-6956FDCD5BF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82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A2A50F2-141D-4E4C-98CF-5086790C2AD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82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FDFC2AB-6FEA-4138-B776-3AF6B8D08DA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82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DE60EEB-8373-46E4-BF1C-1480640C757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82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EE55E9F-4204-4D65-93ED-A34425F6465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82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692B9CC-FC02-4EAE-968C-891F2C07E9D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82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03933F9-3EFF-427D-8C90-BE088C9431B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82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00141A7-562C-4998-9456-26E039C5505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82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98BE274-FA4A-4186-9AE8-5D205D60A90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82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F50AC5C-6BD3-4545-BAF2-3D5B6ACF5A3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82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113C902-8B3A-472D-B133-844468A5FED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83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5E23A3A-67B9-4924-A87D-9DF5D0E3E96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83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07FFD68-CC2B-4746-8DFA-5C62FF1E3B9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83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59DA747-DDB7-4C7B-90F7-8D246836239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83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7441C91-F5D4-4407-998F-561B032AA66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83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78E341A-F881-4668-AE8E-1D39A8DCFE0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83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59BC607-EE2F-432C-AA95-D897B666487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83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2A03B35-DF01-41D6-987F-4174D9699DE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83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34B4BC1-8CEF-452F-9B42-654DDE22AF3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283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168C6AA-420F-4A63-8247-185B54CFDE0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283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8082009-D8A0-4F96-8B9D-3E166242F48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284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F1C1904-1E3B-45D2-A71A-B2C8C14D761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284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C4D70D5-0BFF-4D7B-9B14-7D0F606FDAA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284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29547B3-9726-4885-B7C4-6D88DADADF0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284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B0F323F-2A67-49AA-A699-628297562AB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284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5C04810-A86D-4304-94E2-C2FA0DF853F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284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F67A1A6-B7B0-444B-851F-2DF4DA406F7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284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3EA2954-F911-494E-A2FC-60F206DF73C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284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184B12B-C6C8-4A94-B4E6-CF5360BE0D5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284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0075595-6E03-4E7B-A0BA-856C0123EDC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284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AF8EF1E-100D-4EF0-99C2-0FC46F26F70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622300</xdr:rowOff>
    </xdr:to>
    <xdr:sp macro="" textlink="">
      <xdr:nvSpPr>
        <xdr:cNvPr id="285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D7D973E-4977-4056-ABA7-62B182E8615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622300</xdr:rowOff>
    </xdr:to>
    <xdr:sp macro="" textlink="">
      <xdr:nvSpPr>
        <xdr:cNvPr id="285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D2DDC9C-C3B8-469E-A48D-91D9F331DD9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622300</xdr:rowOff>
    </xdr:to>
    <xdr:sp macro="" textlink="">
      <xdr:nvSpPr>
        <xdr:cNvPr id="285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C500D23-1370-4763-A755-03725097C9F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622300</xdr:rowOff>
    </xdr:to>
    <xdr:sp macro="" textlink="">
      <xdr:nvSpPr>
        <xdr:cNvPr id="285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451A342-7E25-4569-B440-1BC89BD9BE1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622300</xdr:rowOff>
    </xdr:to>
    <xdr:sp macro="" textlink="">
      <xdr:nvSpPr>
        <xdr:cNvPr id="285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2D52A95-2AF0-4C13-9204-2B7B4010E36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622300</xdr:rowOff>
    </xdr:to>
    <xdr:sp macro="" textlink="">
      <xdr:nvSpPr>
        <xdr:cNvPr id="285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80E3F7E-3706-4701-827E-9612D52C82D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622300</xdr:rowOff>
    </xdr:to>
    <xdr:sp macro="" textlink="">
      <xdr:nvSpPr>
        <xdr:cNvPr id="285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9A0CE19-D4D0-4877-BBF3-B72397C45FC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622300</xdr:rowOff>
    </xdr:to>
    <xdr:sp macro="" textlink="">
      <xdr:nvSpPr>
        <xdr:cNvPr id="285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CB6E918-9703-4CD2-B493-A9A7E193CB5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622300</xdr:rowOff>
    </xdr:to>
    <xdr:sp macro="" textlink="">
      <xdr:nvSpPr>
        <xdr:cNvPr id="285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3BE7918-B712-4CE9-A3E1-B0C177D3CBE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622300</xdr:rowOff>
    </xdr:to>
    <xdr:sp macro="" textlink="">
      <xdr:nvSpPr>
        <xdr:cNvPr id="285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9E1770E-CB9C-4A80-84BA-DAC5E49A8D1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622300</xdr:rowOff>
    </xdr:to>
    <xdr:sp macro="" textlink="">
      <xdr:nvSpPr>
        <xdr:cNvPr id="286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FD5D670-AA8C-41C9-AA56-FFE520DF688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622300</xdr:rowOff>
    </xdr:to>
    <xdr:sp macro="" textlink="">
      <xdr:nvSpPr>
        <xdr:cNvPr id="286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238699A-45A6-436E-B6E0-90DF5026906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86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67E50B1-500B-441E-B6FF-2999D5B293A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86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28BF446-BDD3-4852-BBF5-9429A0CBA68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86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6E61220-3C2E-40FD-8012-F99832CB38A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86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7F2D18E-A439-406B-972A-D84BABBE626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86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83BE015-6119-48BF-AFF8-0DE7EDEBB2A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86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2C73DA0-AF9B-4E68-9955-2895F5D9FD6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86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365AAB9-BA38-41C4-80D1-E4AD5D51703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86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6360681-848D-4505-B3A6-937216FC6D4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87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352F9F9-5F65-42DF-8D38-DA3B2ABDB97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87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DFB4EC1-B786-4446-BEAF-FF8B8CF8FED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87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6E4CA87-7F8D-4F6E-A9EA-5F26343511E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287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B833163-EB22-469C-9E94-CDC777172EE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87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F4481B7-9F71-4A69-AB85-83CD91A9E19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87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BDB5A02-7AC6-4FF6-A9DF-0D65E936102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87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9381FF1-D094-4426-A400-0434B60285D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87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16F5D3C-9167-421D-A6DA-EC2744848FB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87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E6767FF-218B-4603-AD81-6E33E303912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87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E1D4103-8A26-4254-89A9-D8DBF247C2A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88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37E6DFD-14E1-4B72-BF8C-0086E39ECE4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88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D4BEE85-E644-42F4-AF79-9AB86410C14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88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FD6A42A-97F5-4381-880F-858D5CCD2DF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88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A404BAF-D0F6-410D-99D5-EBF9434E891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88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61092E5-5D59-4C74-88EE-D62FBF06A85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288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EC1CA53-3639-4F7A-8D1A-11582257723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288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302D248-E5DB-4043-8D73-652B03A61F5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288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0095763-ADC9-4CFC-B41A-2A0B39CD6AE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288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E53129C-910D-400D-A65E-F6828DC2E99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288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9D32C01-B083-496C-BDE3-1E5F6AA0B41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289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676BDF6-EB9D-4EA4-B671-FF24ABEDA37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289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A90E420-F64D-46FE-A7D6-75BB93058E2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289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B08BB24-C5A2-4C70-A65E-4A4B82BB167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289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39B91FB-A1AF-4441-9C8C-9F666FE4E3D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289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FDEFC3F-8C0B-4B88-9803-F3511D97D51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289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91CD334-0D44-451A-88C2-77211099A9F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289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B7D8370-2007-42CD-A588-E863F7ED1C2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289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E907C5E-842B-4F88-9EC9-BCA835DF3154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289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CFB0969-7380-495C-94AB-0B0081E4171C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289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5A58B57-E605-4D54-BED7-3C4F6938A91F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290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75BCD21-C129-4A69-A75F-BFC6F150870D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290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7C647CD-F25A-4591-8C8E-0B6922663DE4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290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A869BA9-1D37-402A-8CAA-985529A8518B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290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40ACF31-929A-41C9-B9D4-318696C51F61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290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39F38A7-3785-47A5-9464-38C95096DBCF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290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EF31ADF-5A16-4E99-826C-2285DA168889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290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D06BEA8-4CFF-4D95-8477-898EF2900343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0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2BA9F36-7289-43A1-8F94-C9323CF6385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0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2A0786F-8E5B-4065-9469-6E14E78FD9F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0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EA3939A-61A9-43AA-BFD9-984B8E19CFB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1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1C9B055-D49B-4EBB-95A2-8C95D067566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1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CBFD03B-2540-493B-9059-7080FC10C03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1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522FF1A-FF0F-4082-9158-6452ED9746F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1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B99630A-2319-44B6-A145-FB3CDAA5D39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1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B85D901-23AF-4D75-9074-B1C61ACD614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1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4A2BB43-AFEB-4564-AB0D-891E5C0F966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1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E11C243-6A04-4B1D-B516-09DA7E28C7C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1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7CEFE50-E6A8-4D3C-A2BB-17FE4C6D2B3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1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31650F9-BFEA-421D-A792-9FEE6571B78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291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44FBFBC-38BB-41A1-9669-9C43DA6FBB0B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292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12F7787-B313-490E-B5CF-4B322C30278B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292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A36B0E9-7727-490E-A0F6-1C47E7840C2E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292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B2DBDBC-9922-4D64-8C3F-9F4871F4BF43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292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43093C9-34D8-4C8C-A824-1BF0D320EA3D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292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DDFF340-C6A5-4607-AA67-077FF87844E2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292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0249A55-2E44-41C0-B634-AC704244868B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292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0C60C01-03D6-45BB-9BC0-36FE7E8152F3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2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5178F76-D07C-4DFD-941E-96E8EDA6EB7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2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4C2CCC3-019A-4530-A6A1-8713628E616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2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D34A941-70FD-47A0-B6F8-1E23CB122BC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3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6421423-DEBC-49BE-8041-F1E07C395DB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3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E6EED4E-8F81-4732-A391-6F6A376BA93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3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4667FC1-A37C-4B37-B0F7-964EA535615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3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E46B206-096A-43E8-AF93-70FE08DACDA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3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0450EAA-9A19-4C4D-B638-E8C651E0A06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3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02DD259-B2EC-442E-BC78-4748C3FEE6E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3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7F75ED1-FB6C-4E53-8184-BA32F5E488F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3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3E5B6E8-4656-43EA-B9E0-0F6C728A30B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3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EDF57A9-0581-45C9-A899-F86733C8E3A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93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F7164EE-BC1B-4180-95A7-5B2ECA14C72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94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72BC875-266B-4A91-BCFA-96DE24ED5A1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94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A2A8E3E-5CD5-4D3A-886A-6B2810892F8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94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8CD3DB1-21E5-4ECA-9334-F357EC1FDD2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94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EDA0F21-F594-4A7C-9F7B-BD242380C1D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94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751F972-596A-40B8-887D-4D3CAE3EF5A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94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9FBF0D0-63B8-447F-A9FF-6C02DE18DE3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94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26203C3-8A47-419F-97AF-83B19DCB480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94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B7780F4-28B4-42DA-AC38-4EC5CACB44D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94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4DAA390-8EE0-4193-A40D-1E08AC42731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94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9116EA1-C695-427F-97F2-BB826C27FF5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295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006DA28-9355-4165-9E8F-A808B0D0E45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5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9BA38A8-D4F9-4D0B-A857-CB9BD952D91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5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40B4D26-5E53-479B-824E-CB390ED68FF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5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D4C1555-8607-41F6-B17F-8DD64A32215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5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FACADA2-B787-49C8-B6E5-10F9F14A0D4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5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C327FE4-77C9-4A98-9336-3919FDDE237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5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55F8940-92EC-41C6-8FF8-176EFD055EB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5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153054A-1CBD-4DC2-A3F3-C65E4261E96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5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62E8C11-3264-49FF-8690-196EAB3FFCA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5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47078F4-EEB0-4BDA-8DA4-0232DB0550C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6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C65E54A-F1E8-4DA9-964F-A797ED7A02F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6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3E488A3-FB36-4FB5-8049-25102787EAA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6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D02D1D8-58D8-4040-BDDE-9088AB3EA39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96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9A56200-C3FA-4CDE-8997-769371B3004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96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4679F22-1BD2-4C79-9575-926061B5F80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96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FBFCD2A-46E3-41C6-B9B2-77747DD77ED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96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24D9EDE-00F8-4E10-9518-9A03EF666A1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96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8A2086A-5D76-4175-90E7-676DE31E7F9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96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C3B4F3E-4CD9-4411-9BC5-F226A16D760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96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8716AFC-51DC-47B0-9BE2-1F49B9371EC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97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8E722DB-C737-4325-81DB-146D4E16239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97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1B6C38F-ACDB-48DA-ADA8-FEC73A19AAD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97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C5961A0-351D-48DF-A2DA-919A544E132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97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9BA761F-EDC4-453D-B3C2-73DAE08D3D3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97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5ED0209-261C-4341-8BFC-51A7257ACDA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7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91E9A09-4B01-423D-8B64-AFB68A090C9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7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35CF668-9E6D-44EF-948B-7C2181D7B1B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7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105DDBE-C360-4F0C-AEBE-4DB94347AC9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7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282A078-D0AE-47A3-BBEB-68BEDE1489D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7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4AFFD0B-4341-439A-8A4B-3113F526A29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8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EA51F71-39E9-495A-ABAC-B8BAC9FCE27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8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2A6B44C-8133-48B7-823B-35A802E0BBC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8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FD1CA7E-B004-4876-965D-A759E959077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8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BFD6ABB-5DFE-47F4-84FF-4711CC6A36B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8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6CD1DA7-E43A-4548-AF7C-838251032A0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8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835E939-0530-4277-BF45-4FD7C0C9371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8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78D12EE-E70C-41F5-BB1E-46971581A79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98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6F85A9F-53FC-4F8E-93B7-870EA531C52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98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89E4CFE-AE34-41F7-815A-7C33965BF39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98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5C4774A-1B12-4F31-9331-AD1CA395DD0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99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E4D95EF-04D3-4114-821B-F982A710944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99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EEE4A7B-93FB-424C-8EDB-33FB13D552C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99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D328428-879A-4028-B443-27E2D16FD71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99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7CB1B56-697B-4FD1-8EF5-D1E8C51D8DC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99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27FCAA2-C06D-4EA1-86E2-0AC299F2CE5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99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1AB5389-752F-4E82-99A8-092A7BAFE09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99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368C5F2-69B6-490A-99BA-3512D930740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99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B25BCB2-1403-48F7-B8EE-AB71C6FBB64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299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ADB365C-6607-4784-A90B-3513DC5588B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299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77BCCC8-4B2B-46DF-9BE0-B69EEADE96C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00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B9E56A4-9605-4E53-844F-74165CC5BAC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00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13B310C-EAFC-46CB-884C-5F3BC30F0E0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00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6CB8204-602B-41FE-9DA5-18035546D03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00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33BB711-037C-4F41-937F-936F84B5981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00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A57DD0C-FB5D-4E95-9C40-33C63A9B261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00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84F16D8-908B-4DAB-A0CF-6C8A99FF527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00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C9BED97-A3AD-4902-B321-F96B2C4020E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00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14D3E27-0634-444A-A6A7-C5A2D2AA27F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00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EC53965-7E8D-4760-AE5F-F52C5EDB104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00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B202440-76AC-47C4-9D9D-B6D9C4C9643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01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7B76EB0-3D3C-43A5-9502-0F2C4FFFFCC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301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2A5DD59-4802-4CFC-AD13-8B069CDA1DD0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301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71ADDE2-7E79-4301-84FD-FC52F100737A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301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60D2B89-9356-4255-A6F6-3875AE76963A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301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88099B7-5DE0-440E-9474-ED0A87004F1B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301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E7E4888-0CCE-443A-8FF7-4250706D01F8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301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14BCB5C-A64E-4F85-8B1D-3E7356EFA69E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301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2D91E0E-BC98-4A85-8C8F-F7DF4D0C0C91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301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F950097-559B-4ED1-B01E-E0A551F9E61E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301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4448B27-E1AC-4F13-993B-0512D714383E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302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1D1F27C-9236-46BF-8F12-4A8661EA2358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302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EBB1F2A-9CFF-4821-9768-930133CE4817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302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EDB8A1B-3CA1-4D95-99D0-374A49649308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02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BE65619-3C12-47EE-84C4-8FB6F8DEC00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02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2056153-A633-47A4-8DAE-FE82AADC6D5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02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2A7E57A-C83D-4E73-A121-3A2B99F625A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02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C8FBB6A-433D-444F-B7B1-B875FF62576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02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B28F905-39CF-42A8-B2C5-B7C720F3B1D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02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EC3F72E-DB78-451B-85F8-434E5B36D5D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02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B484C9E-E0B4-4A8D-93E6-D71E2B940D2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03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099E4BF-A654-4615-A5CD-613E7527126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03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7CAE075-FAD5-4AEE-B092-3C94075A189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03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04EBB99-0774-4C0D-9784-2D19CD878A3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03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969BF51-595C-4F5C-A4BD-DAD453FE2B5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03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74FF704-7B3B-4C37-9CCF-F537A6750EE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03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F30571F-6966-4A04-9D69-FADED41A0F8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03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51C9B01-E790-4551-A08D-5F04CE3211E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03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385E7FC-13DC-4CC8-878D-0BC47D5C53C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03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DA5447D-2FA5-4FC1-9F9A-BCAB4B4C5DD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03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0B9202F-1884-4D39-A7AF-50B132E3493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04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5D56E07-0283-49C8-B15B-EB2FBBA25C5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04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CF22794-1C4B-4CBF-B4C9-C17F343B14C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04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1DE0AC3-C895-428D-888F-C6BC18823A5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04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5C877D5-9C34-45B3-820B-C8DCB8A6B86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04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FAF771B-B029-4327-B8F9-8693B2254BF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04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B041106-1585-4F51-9A3B-7A2C27AEEDE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04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3977550-45B0-4BB5-86B6-4097D6C22C0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04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B2B369A-5B89-4585-862D-38BE3101EA1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04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71F62A3-B7EC-4C15-B20A-1F8227F47A1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04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75FEB31-DEB8-4F74-BD23-11078511804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05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873230D-8508-4B31-BEFF-66788FE388C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05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9A563D4-1109-45A9-9B25-6420602A8B6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05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336D0DE-A0AC-4678-A944-293C2DE95E3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05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C0872BB-AA21-48B3-9827-15C4097FB79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05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55AC888-C1F6-4541-A9F0-762D9909725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05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C266594-D85A-434E-B5EB-D40998EC2A4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05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6FDB908-58D1-4C26-AF3E-5D7BE19E78E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05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8A02A17-7850-4C49-AFC5-76AA81730DA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05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AC50962-ADD7-4339-A0FD-7ACE3733595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05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683D465-FBBD-461B-A820-E3A9CDBEC04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06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E949FB2-14CF-421C-B9BC-A3092F0415F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06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2B4BA11-BE9D-4C57-9F24-C752C5D9C5D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06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88AA2AC-8CCC-4049-A185-74ED75E7145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06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3449E63-B7A8-4327-91BA-CC0385FDE8A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06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78D4C27-033E-4F79-9482-E7AD8212D42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06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91CFD0D-2F51-49CB-995F-F45D2F797EA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06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C54B85C-1D2F-425B-801A-5B0ADA42354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06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F718AD9-95AD-41EB-945C-744CA808478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06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90F30CA-6B94-4E95-919B-FEDBA744436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06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CE845C8-5B1A-4713-B692-AA8E8B19C7E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07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0AE481C-2859-43EB-AE96-959B3BF494D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307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A4B1F49-6D45-4909-BE7F-C4C132B8554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307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DA3C0AE-B6AC-44D5-BAB9-870A108C9FA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307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BF24B87-652C-497D-A171-17733271E2F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307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4568466-CFF8-4EFD-864F-13338AA5A89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307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6444342-B7BE-4BCA-88DB-3436D74A496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307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22B4813-CF34-4066-824A-34CB17C99B8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307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547C48C-8682-4F9E-B30E-5E26B5C7F8B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307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46B1C9F-56AA-4A36-80D9-FEB0797C3F6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307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D6F10F7-56F1-4956-AE08-5FC0B288D71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308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9D5CBD9-07DD-4618-8923-9774BCF2195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308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4F250F4-6F71-4C9A-BA88-200E03568F1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308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06AFB9F-1C76-4422-9E78-D948C11CB2E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308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BB949DB-5C1A-4CC9-8FAB-D24991E1064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308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8304FA2-195F-4461-9B1C-F16AFE53EAF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308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3F26373-0E2D-4161-A16A-AE7FB8F8C3D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308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0AF2F65-CBE0-4F6C-8894-7D4FE090995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308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6A99BAA-B456-4D07-8B27-F25CFDD841F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308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5D0844B-1DAF-4EC4-A26B-F3FC44C23A1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308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87CCE62-F7CA-4B87-998E-9BF711F55F2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309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AA53866-57E6-4EAE-A67D-476221D35E6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309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FA95538-D511-4EAB-85EC-33FDC9401D2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309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29014A8-D9AB-48EA-B7EC-4194EC80609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309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173B19F-9A2B-4D73-AC11-7C056660268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309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A774AF6-86C8-4E59-8B22-0A56215832D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09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2E12D9A-EBE3-42C6-B3DE-3CE4B7509DD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09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72A2A06-5176-4DE4-B3A5-EC99EB77515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09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3BF31F2-43F2-49B7-B874-4498D82A3BA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09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E835052-BF3B-421F-8EC7-D639FD00370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09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7B3E64C-3D63-4DCC-B854-6B60E0BEFB6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10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D96C6FB-5283-4878-8704-B205062F608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10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07353F1-EC23-4321-AC9A-394F43BFA81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10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1C8C52B-496C-48C5-9224-0DA2D15926F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10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9117C11-C5A0-43A4-BE02-B30BB3D6661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10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117C10C-AC3E-4D63-B1CA-56517354959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10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3490A14-5894-429F-9A4D-969DAEBBA52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10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8D248DD-A5E8-463E-94FE-DEA1BE8F9BE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10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8132F91-DA38-4EB9-BF63-799783DD59D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10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4A7052B-E181-4185-BC4C-5C1BAFF4473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10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E7654DD-E63A-45F7-B2D9-98DE109FA7C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11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4075111-1D83-4ABA-AC43-2D4CE9D2D22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11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F513E0B-B222-4D10-B5E6-4CED886FC27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11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8A8ECEA-E6D8-4602-AD07-4B83FD92BF0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11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A083CEE-2846-4C5F-AEA8-7E2C4F5A1FB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11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D79349B-7A3B-4122-800E-DC758E15CF6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11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42EB493-9133-45E4-9128-17E9C6BF587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11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9A7308E-3AA2-4305-BA7C-C7381BB433B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11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D37CEC5-B4DF-4EBE-B763-3A62DF0563A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11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9189623-E1D8-4B3B-A982-3FE1D65763F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311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D9B27D6-2EB3-4C70-B352-F65689961ED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312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FA4CDF8-DC1A-4760-9560-775927EE575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312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280D039-614F-4498-A3C7-51E50AFACF7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312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F6A293B-4C03-4275-86B0-05E9605C46F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312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9E2A19D-C852-4B7A-A7D7-A19752A77AC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312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42DDA78-8F72-4E9B-A358-15F08F80FD0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312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378C405-0EDF-4967-BD8A-25D1018069D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312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A41D9DC-0930-4E80-AA6F-6F12E42184A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312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8E771EE-A9E0-47BA-A612-8CF3120684F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312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A8C08A0-B141-4BD5-BC08-76518647A0D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312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9A0C494-509E-4039-98A5-62A29B9FCF0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313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FA16103-95D5-4FF2-9BD7-7E15E420F337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313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52DE0A2-9788-4B01-962F-0BFDC75BC8F4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313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B76C160-7164-455A-8CE2-09E337FA41B1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313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9C80168-AB62-4E86-8242-9015F5B7A149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313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54CE6CD-27B2-4BA2-81A1-248A523CA1A0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313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2A6D81E-FB00-4A55-B92B-F3D4319B7700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313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BFDECCC-3C25-4510-8505-C00CE44E54E7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313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A6FDA94-51DE-43E8-AD82-8B954B4B1D36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313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F5BCCFE-0C39-4DF1-88A8-B3BDCA6D5367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313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41C65B5-1315-493A-B2E8-936F3B9DB195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14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9F40301-4FDE-40CF-88A6-5DF1B5FE0DC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14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BFA26C1-3890-48CE-9673-76EDD16FA8A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14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23E0E1E-2FB8-4539-A5CD-FCFFCFD3DE8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14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94AFDC2-1F4B-4A75-816C-7850936C3C3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14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BFE1C64-B56A-4201-8B8A-99B6C9FC23B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14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7445A8D-D588-44BE-9AF2-3ABE45B46A4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14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4C5019F-C716-418D-8F0D-AB0D518A8F2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14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5F04375-B98F-4951-824A-3EC1ACFCEFB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14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2B7D22D-4699-4735-A045-B8D3481854B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14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B662F9D-8E0B-4A5B-B875-150B1BD023D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15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D713B8A-2FF2-4DB9-B4AA-DB7BBA4BCBF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15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5DFDAB3-B39F-4AB2-8AAA-66B92C3D321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315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66B2848-4096-4F51-BE3A-E0D45D92D372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315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42C3765-E806-4260-924E-3AA3341600B1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315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35D38E6-3254-4073-9C02-A469EB9DBA2B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315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7B93BE3-C967-40EB-87F5-23173DFFE96A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315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CC941D0-8FFE-4FFD-A7F3-F563C5DA1B2E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315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3A07B86-9237-4E2F-97C0-BE512EE5E7C7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315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10CF0B5-FEDD-42FD-98C3-7DBA236D6D20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315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5C7BF9D-6BED-40B3-97FF-61A349655900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16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2ECAEB9-B9D3-4836-B566-B4941ABB1BB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16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4FF6489-EA9A-4AEB-BA9D-DF4DA0E78BD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16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4D662C2-A103-4A1E-AE3F-0F50C7A35E6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16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2C93E82-630D-401C-AC28-B45721651A2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16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6862328-9CB7-48D1-85EF-B1320A1ED65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16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7FD8D95-302F-42AB-9C30-6AA550D4074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16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DC9A9BE-833F-4C99-B6C4-907DE067219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16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9ADECA6-42E3-4B4F-996F-66F24992D54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16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730E038-ADD4-4735-9C85-E7C303C6D98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16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4D2F49B-0911-4593-892A-4F55DF2289C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17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B394056-2730-4D39-B644-D1F471F2AA0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17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B7FFCEA-B162-44AE-ACB1-7E7E2554100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17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8D09D03-716D-4FC1-B225-1F93CA40CF6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17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1655C2C-F1AD-42BE-B86F-F3822B2B162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17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2011377-C7AF-4728-8BD0-C98D617C7E3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17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985376C-EAFF-473A-8742-6E9AAFDD44C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17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C4D74EF-94BA-4536-AF05-15D3392F549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17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247B28B-199D-432B-B5D0-212D98747AA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17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9C83E53-CC5E-41D3-8D01-D68A4727B68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17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60C8022-27C2-4D0D-BDBF-6C229240876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18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41031B3-4C31-4F7F-9B51-5DB7AF2949B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18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1A84628-7809-4C58-B84D-8AC59A6F374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18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01191A1-C878-4B0A-B95A-15F1C3EF314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18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C5DF480-01F5-4159-8DC7-CF564551186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18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6161C60-E6B5-40DB-B4C0-2A480AFD978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18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5E62C1F-859F-44CF-9816-95569F94D41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18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FD7995C-8E83-4602-AE5E-D7F98305452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18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3F97944-A935-4312-AF23-78824D616FC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18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31D02B8-DB07-4DDC-9C7E-123210325FD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18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321D0FB-1033-480D-B370-FAC193BBC75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19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AAB708A-B357-4333-8FEA-29C10665C1B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19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8E8F670-F0DA-4370-BFDD-1188193A92D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19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EE47E3B-622F-4D92-9094-10199DF0FDB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19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97D6635-13F6-428A-A74C-6D3364B2533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19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71B7951-86FE-44AD-A3A5-8E87DC77B87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19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C5F05F4-EA54-483C-9B90-A4C0B6EAD75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319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C187B00-8331-4DF1-83C8-9CE26BCC59E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319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546F98B-AF4C-4D7F-B1E9-44B250B106D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319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479B72C-DE9E-4355-BAA9-73333655D76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319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6FEEAFA-692C-40B7-9847-2257AE70DCD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320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81EEBB3-549B-4E82-B8EA-71070549F98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320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DCA1C4F-C978-43FB-8F07-89A8B86BB69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320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AE0E903-A6C0-4353-90FD-0FD22A0476C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320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7C128F7-3BA2-4582-8626-26824F743FB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320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19E4575-4429-40CE-A999-EDE84199655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320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09AF261-56E3-484C-BBD3-E6D8BBE8E38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320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7BB95FC-AEC2-45FC-9084-7B85096A998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320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B91CF7A-E2F0-45EF-B702-2F56255F1C6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317500</xdr:rowOff>
    </xdr:from>
    <xdr:to>
      <xdr:col>7</xdr:col>
      <xdr:colOff>3943350</xdr:colOff>
      <xdr:row>25</xdr:row>
      <xdr:rowOff>6350</xdr:rowOff>
    </xdr:to>
    <xdr:sp macro="" textlink="">
      <xdr:nvSpPr>
        <xdr:cNvPr id="320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D249C23-3D16-414A-93E5-574CB8041E4E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652500"/>
          <a:ext cx="97790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317500</xdr:rowOff>
    </xdr:from>
    <xdr:to>
      <xdr:col>7</xdr:col>
      <xdr:colOff>3943350</xdr:colOff>
      <xdr:row>25</xdr:row>
      <xdr:rowOff>6350</xdr:rowOff>
    </xdr:to>
    <xdr:sp macro="" textlink="">
      <xdr:nvSpPr>
        <xdr:cNvPr id="320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5B99227-13E9-4FBB-9220-230A810B0006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652500"/>
          <a:ext cx="97790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317500</xdr:rowOff>
    </xdr:from>
    <xdr:to>
      <xdr:col>7</xdr:col>
      <xdr:colOff>3943350</xdr:colOff>
      <xdr:row>25</xdr:row>
      <xdr:rowOff>6350</xdr:rowOff>
    </xdr:to>
    <xdr:sp macro="" textlink="">
      <xdr:nvSpPr>
        <xdr:cNvPr id="321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462AD1B-E1B9-45D4-95D5-71EB3C54EA39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652500"/>
          <a:ext cx="97790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317500</xdr:rowOff>
    </xdr:from>
    <xdr:to>
      <xdr:col>7</xdr:col>
      <xdr:colOff>3943350</xdr:colOff>
      <xdr:row>25</xdr:row>
      <xdr:rowOff>6350</xdr:rowOff>
    </xdr:to>
    <xdr:sp macro="" textlink="">
      <xdr:nvSpPr>
        <xdr:cNvPr id="321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5857834-331C-4E21-AF56-CCAA4EAF897C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652500"/>
          <a:ext cx="97790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317500</xdr:rowOff>
    </xdr:from>
    <xdr:to>
      <xdr:col>7</xdr:col>
      <xdr:colOff>3943350</xdr:colOff>
      <xdr:row>25</xdr:row>
      <xdr:rowOff>6350</xdr:rowOff>
    </xdr:to>
    <xdr:sp macro="" textlink="">
      <xdr:nvSpPr>
        <xdr:cNvPr id="321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7CE2159-E1B3-448E-99C2-8A7BA049B387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652500"/>
          <a:ext cx="97790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317500</xdr:rowOff>
    </xdr:from>
    <xdr:to>
      <xdr:col>7</xdr:col>
      <xdr:colOff>3943350</xdr:colOff>
      <xdr:row>25</xdr:row>
      <xdr:rowOff>6350</xdr:rowOff>
    </xdr:to>
    <xdr:sp macro="" textlink="">
      <xdr:nvSpPr>
        <xdr:cNvPr id="321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F7C4FF7-E519-4DD2-9DD2-568C22E55C89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652500"/>
          <a:ext cx="97790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317500</xdr:rowOff>
    </xdr:from>
    <xdr:to>
      <xdr:col>7</xdr:col>
      <xdr:colOff>3943350</xdr:colOff>
      <xdr:row>25</xdr:row>
      <xdr:rowOff>6350</xdr:rowOff>
    </xdr:to>
    <xdr:sp macro="" textlink="">
      <xdr:nvSpPr>
        <xdr:cNvPr id="321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123C244-280E-4693-9D17-6AF161D772F2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652500"/>
          <a:ext cx="97790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317500</xdr:rowOff>
    </xdr:from>
    <xdr:to>
      <xdr:col>7</xdr:col>
      <xdr:colOff>3943350</xdr:colOff>
      <xdr:row>25</xdr:row>
      <xdr:rowOff>6350</xdr:rowOff>
    </xdr:to>
    <xdr:sp macro="" textlink="">
      <xdr:nvSpPr>
        <xdr:cNvPr id="321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04801E1-4ED8-458C-BACD-91BAAF2B878C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652500"/>
          <a:ext cx="97790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317500</xdr:rowOff>
    </xdr:from>
    <xdr:to>
      <xdr:col>7</xdr:col>
      <xdr:colOff>3943350</xdr:colOff>
      <xdr:row>25</xdr:row>
      <xdr:rowOff>6350</xdr:rowOff>
    </xdr:to>
    <xdr:sp macro="" textlink="">
      <xdr:nvSpPr>
        <xdr:cNvPr id="321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511C3F2-D3BE-4F10-AEA3-05855413487A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652500"/>
          <a:ext cx="97790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317500</xdr:rowOff>
    </xdr:from>
    <xdr:to>
      <xdr:col>7</xdr:col>
      <xdr:colOff>3943350</xdr:colOff>
      <xdr:row>25</xdr:row>
      <xdr:rowOff>6350</xdr:rowOff>
    </xdr:to>
    <xdr:sp macro="" textlink="">
      <xdr:nvSpPr>
        <xdr:cNvPr id="321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AA9219E-3BC7-4F7C-8C8D-55C711260BA1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652500"/>
          <a:ext cx="97790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317500</xdr:rowOff>
    </xdr:from>
    <xdr:to>
      <xdr:col>7</xdr:col>
      <xdr:colOff>3943350</xdr:colOff>
      <xdr:row>25</xdr:row>
      <xdr:rowOff>6350</xdr:rowOff>
    </xdr:to>
    <xdr:sp macro="" textlink="">
      <xdr:nvSpPr>
        <xdr:cNvPr id="321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11C15F1-4099-4593-8826-FD1F081E2861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652500"/>
          <a:ext cx="97790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317500</xdr:rowOff>
    </xdr:from>
    <xdr:to>
      <xdr:col>7</xdr:col>
      <xdr:colOff>3943350</xdr:colOff>
      <xdr:row>25</xdr:row>
      <xdr:rowOff>6350</xdr:rowOff>
    </xdr:to>
    <xdr:sp macro="" textlink="">
      <xdr:nvSpPr>
        <xdr:cNvPr id="321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7FEFAAE-FE3E-469D-AE74-A393CA9B2A0F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652500"/>
          <a:ext cx="97790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317500</xdr:rowOff>
    </xdr:from>
    <xdr:to>
      <xdr:col>7</xdr:col>
      <xdr:colOff>3943350</xdr:colOff>
      <xdr:row>25</xdr:row>
      <xdr:rowOff>6350</xdr:rowOff>
    </xdr:to>
    <xdr:sp macro="" textlink="">
      <xdr:nvSpPr>
        <xdr:cNvPr id="322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573D8E4-F330-4F66-8746-4383E22CA40C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652500"/>
          <a:ext cx="97790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317500</xdr:rowOff>
    </xdr:from>
    <xdr:to>
      <xdr:col>7</xdr:col>
      <xdr:colOff>3943350</xdr:colOff>
      <xdr:row>25</xdr:row>
      <xdr:rowOff>6350</xdr:rowOff>
    </xdr:to>
    <xdr:sp macro="" textlink="">
      <xdr:nvSpPr>
        <xdr:cNvPr id="322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C8780CF-704B-41BF-B4B4-147C3B4619C0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652500"/>
          <a:ext cx="97790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317500</xdr:rowOff>
    </xdr:from>
    <xdr:to>
      <xdr:col>7</xdr:col>
      <xdr:colOff>3943350</xdr:colOff>
      <xdr:row>25</xdr:row>
      <xdr:rowOff>6350</xdr:rowOff>
    </xdr:to>
    <xdr:sp macro="" textlink="">
      <xdr:nvSpPr>
        <xdr:cNvPr id="322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C00CACD-C810-4BA0-9EF6-86364947B178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652500"/>
          <a:ext cx="97790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317500</xdr:rowOff>
    </xdr:from>
    <xdr:to>
      <xdr:col>7</xdr:col>
      <xdr:colOff>3943350</xdr:colOff>
      <xdr:row>25</xdr:row>
      <xdr:rowOff>6350</xdr:rowOff>
    </xdr:to>
    <xdr:sp macro="" textlink="">
      <xdr:nvSpPr>
        <xdr:cNvPr id="322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9163333-CB1A-4D1C-9451-CB3459DB8C35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652500"/>
          <a:ext cx="97790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317500</xdr:rowOff>
    </xdr:from>
    <xdr:to>
      <xdr:col>7</xdr:col>
      <xdr:colOff>3943350</xdr:colOff>
      <xdr:row>25</xdr:row>
      <xdr:rowOff>6350</xdr:rowOff>
    </xdr:to>
    <xdr:sp macro="" textlink="">
      <xdr:nvSpPr>
        <xdr:cNvPr id="322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D796416-504F-43F6-B918-CBB73DB2A2BE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652500"/>
          <a:ext cx="97790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317500</xdr:rowOff>
    </xdr:from>
    <xdr:to>
      <xdr:col>7</xdr:col>
      <xdr:colOff>3943350</xdr:colOff>
      <xdr:row>25</xdr:row>
      <xdr:rowOff>6350</xdr:rowOff>
    </xdr:to>
    <xdr:sp macro="" textlink="">
      <xdr:nvSpPr>
        <xdr:cNvPr id="322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0260C48-1314-4E64-9283-9DDA8F71AA8A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652500"/>
          <a:ext cx="97790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317500</xdr:rowOff>
    </xdr:from>
    <xdr:to>
      <xdr:col>7</xdr:col>
      <xdr:colOff>3943350</xdr:colOff>
      <xdr:row>25</xdr:row>
      <xdr:rowOff>6350</xdr:rowOff>
    </xdr:to>
    <xdr:sp macro="" textlink="">
      <xdr:nvSpPr>
        <xdr:cNvPr id="322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E00B56A-DE20-41F1-919A-DB3906F40CD0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652500"/>
          <a:ext cx="97790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317500</xdr:rowOff>
    </xdr:from>
    <xdr:to>
      <xdr:col>7</xdr:col>
      <xdr:colOff>3943350</xdr:colOff>
      <xdr:row>25</xdr:row>
      <xdr:rowOff>6350</xdr:rowOff>
    </xdr:to>
    <xdr:sp macro="" textlink="">
      <xdr:nvSpPr>
        <xdr:cNvPr id="322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34F7265-8061-4E03-AC54-F2D4E095FF07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652500"/>
          <a:ext cx="97790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317500</xdr:rowOff>
    </xdr:from>
    <xdr:to>
      <xdr:col>7</xdr:col>
      <xdr:colOff>3943350</xdr:colOff>
      <xdr:row>25</xdr:row>
      <xdr:rowOff>6350</xdr:rowOff>
    </xdr:to>
    <xdr:sp macro="" textlink="">
      <xdr:nvSpPr>
        <xdr:cNvPr id="322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2339421-0A8E-4ECC-8F4F-4061B3BCB1F2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652500"/>
          <a:ext cx="97790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317500</xdr:rowOff>
    </xdr:from>
    <xdr:to>
      <xdr:col>7</xdr:col>
      <xdr:colOff>3943350</xdr:colOff>
      <xdr:row>25</xdr:row>
      <xdr:rowOff>6350</xdr:rowOff>
    </xdr:to>
    <xdr:sp macro="" textlink="">
      <xdr:nvSpPr>
        <xdr:cNvPr id="322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EE5D66F-9A73-46D3-9C3D-2828E979C536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652500"/>
          <a:ext cx="97790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317500</xdr:rowOff>
    </xdr:from>
    <xdr:to>
      <xdr:col>7</xdr:col>
      <xdr:colOff>3943350</xdr:colOff>
      <xdr:row>25</xdr:row>
      <xdr:rowOff>6350</xdr:rowOff>
    </xdr:to>
    <xdr:sp macro="" textlink="">
      <xdr:nvSpPr>
        <xdr:cNvPr id="323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8ADC9A2-E8DA-430C-AF32-E7C6E3D02D4C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652500"/>
          <a:ext cx="97790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317500</xdr:rowOff>
    </xdr:from>
    <xdr:to>
      <xdr:col>7</xdr:col>
      <xdr:colOff>3943350</xdr:colOff>
      <xdr:row>25</xdr:row>
      <xdr:rowOff>6350</xdr:rowOff>
    </xdr:to>
    <xdr:sp macro="" textlink="">
      <xdr:nvSpPr>
        <xdr:cNvPr id="323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B025137-D45A-4E74-B643-A2DA1BCF75EA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652500"/>
          <a:ext cx="97790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23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BECFD20-BF67-44ED-813C-9B74827C6AF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23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8C6B233-84C0-477B-9369-1D55CAF8489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23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50B6B95-AB47-498C-AC1E-A275C3C5589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23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BF7189F-631C-463C-80FF-F5F59A1A844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23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1056648-1150-4C2C-92B0-3FA24ECAC90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23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290076B-C754-41CB-8562-F71C8251E20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23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DD3B971-2A6B-48A2-B625-12AB8D54CBF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23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2E45A87-E83C-4DAB-85F7-BE4ACD692E7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24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C06905D-367A-42D0-B775-7F89D056989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24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FC399BB-48D7-4AF5-B82F-1EEFF1D7E8D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24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2F40B85-3D11-4855-8271-6DF906A567F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24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5056AB6-8A27-4388-98D9-56F8D37D9B3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324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F76C0B8-DF11-46CE-A7BD-697D66DED3E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324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B2CCAB7-44F2-4656-A5E0-777EB9EF643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324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8767F8C-B8D2-4F46-8087-FA75EFC2245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324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F1E3560-4C8C-4EBD-8F3A-DC89449EA0C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324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D0DF120-72C2-46E2-8105-8309956B54D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324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38B1969-A223-4C68-855D-567EC7F3EF5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325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44A9DB2-E828-4DF1-83E9-97EFDC41F70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325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F1F6FAD-788D-47A5-A5D4-D9246E8966D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325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893361E-F479-4728-9237-72ED1B4D21A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325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BB3FBF0-8387-4216-A98F-B0DA83074E9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325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8DD0EE7-6168-48FF-AC17-99C6819DEC3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325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FE19DD4-DA35-410D-9AC1-8CED3CAEC40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25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E5F9072-7630-4779-8BE3-820623B1BD6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25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647092F-C977-4BED-A4E3-E51BF262602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25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3AD68C5-676A-476C-877B-7C80D6F64F6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25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AC04F01-AA84-4A6F-9CA9-5B5C4384E5B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26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560F0C7-EA2A-4220-9DD6-921D3525D86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26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16ACADE-5F41-4BE9-AB40-6E7FD822509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26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666FAF2-3BFC-42B9-8078-F83F7E6DC9D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26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0D2002D-8240-4F99-883E-5FD21F52430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26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5BE8F1F-AE50-492D-9486-21BA52E0AA4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26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CB5BDE0-131B-48CF-9336-C5AA7DAC079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26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FB90F6A-4B90-4A2A-BB32-A29AE222782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26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E2747DB-F9A6-43A5-A945-2FDE420768C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326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9DD05B5-976F-48B6-8AC7-5D43B1D972E2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326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CFF45D1-2937-48AC-87F9-53D2FD9CB3D0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327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663ADFF-E0DF-4886-BA42-24F10D8D841E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327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FA575C1-3F6E-4E41-BEB1-E416C1E9C0B8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327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EC1567D-77AA-4FCC-B717-A5BBA765D18A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327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41990E4-3DD1-46D1-BB64-C1B1558E7EC9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327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5E8CCE2-DD6C-4B3D-A0F2-7FF8B608503F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327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9DBBB0E-D4E9-4BE1-A940-2292B0A3EEA1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327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6D31FAD-4E4C-4146-8A08-D6D8F63C1865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327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AC76027-90F5-424C-9F10-4F50B84CC829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327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36B817D-FD43-4402-B415-BFBBFBF7EF38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2997200</xdr:colOff>
      <xdr:row>11</xdr:row>
      <xdr:rowOff>6350</xdr:rowOff>
    </xdr:from>
    <xdr:to>
      <xdr:col>7</xdr:col>
      <xdr:colOff>3956050</xdr:colOff>
      <xdr:row>11</xdr:row>
      <xdr:rowOff>190500</xdr:rowOff>
    </xdr:to>
    <xdr:sp macro="" textlink="">
      <xdr:nvSpPr>
        <xdr:cNvPr id="327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8C77629-CCCD-4611-9B79-696C17B16AFD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538480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28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881F38F-BCDD-4B4F-8413-DF8D3308B3E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28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5FBC08F-A2CF-4567-A34A-BD68B03DCF4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28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4B5A26E-0709-4741-BD80-9E5231EA037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28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DBCE6C7-5F78-43F7-A4FA-D9E2E5955BB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28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8E02531-B66B-4474-B3EF-7BCDD10B3DE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28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DAB522F-EF41-4846-9CAB-D533013ED70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28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F66D71A-CDF0-4577-AE7D-924DBFEA448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28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4CA7758-FF50-4C77-BCCC-0D373D62946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28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DF50C70-2D16-4C28-9D0A-AB68473F8A6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28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7BDC702-437B-40B3-A14A-9E7868C91C6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29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E15538B-1584-4886-A990-D14FFB584A7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29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C05650C-2C70-48AA-BA90-2E2A7121D5D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29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5A6B044-C92E-401A-9B4A-4E63781479F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29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F7D3453-54DA-4330-AA4F-7625A8C5C2F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29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750D2A4-9FFE-4CF1-A439-18A125B1A15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29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90F650B-15DA-4F05-8EE3-BDF96CB87F2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29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B145968-1802-4546-B984-48A0424DFFD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29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24DADE3-1DFA-4907-9A6E-9B56C0769CC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29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B019CE3-2256-408E-B6AE-3AE362247D7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29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780167A-2854-45EB-8DF0-9CDC49D0B6E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30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13DE320-8323-420D-807F-81E670A5063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30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CD204F4-350C-4A59-997B-F6801CBF353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30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CCD1254-4474-44B4-80AD-2B562F2E4F3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30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A4906D0-54CD-468A-972F-D19E45BD1A0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30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C986F1A-B360-47D4-8D4A-EFC2DE4D14A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30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5ED80B0-0878-4498-B9B9-565EE2EBE03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30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4759710-DD9B-4AFD-96DF-4CA545FD61B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30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9B7883E-FAEB-4E7D-9AF8-A92D8808906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30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81890D6-E4A7-4CD9-A466-B1527C8B744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30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DC7962B-1C28-489D-8081-13706A365F9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31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ECDC588-9A9B-4874-8095-ADF9C71AC44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31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256841F-DDF9-40F8-85B3-1ED450C3E0F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31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076F49F-4B6B-41E3-8F42-5167C196A34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31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240882A-F5C6-4E18-9ECF-B4E885FF504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31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50D62AB-D815-4D02-A092-3532859AFA6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31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4E843E9-6727-4F1C-B984-54C3B9AD9E5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31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2E3D85B-8B84-41F1-823C-B666E22E6EB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31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B9EDA3B-1C5E-49AB-8FB0-C4BC739E19F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31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35D8611-05F2-450F-A644-B1B3AC7E530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31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717EEF2-D1B9-4F6D-9EC2-ABC038A42E0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32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7E7296F-C532-43D7-9A98-C4F6F3ADBF4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32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EF52FA7-994D-4894-9DD0-7C83E137FB7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32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3EA6BE4-5CCB-4AE3-9366-72AF883150C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32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CDB3F9D-9900-4D98-BA08-646FF69ED53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32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0895262-A363-4860-B0DE-E82B350C529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32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B5285FA-ABE2-43BE-9E09-9ADF95EC1A3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32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1F4861B-1A3D-40F1-842C-CDD9967CBE5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32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04D55E2-E4B0-4436-96C8-17FB63C3416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332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9BC31D8-BEF2-4E72-A522-2EE210562A2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332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6AB6361-1D2D-4B78-A6B4-D21358508AD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333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7769B3D-D8D2-4771-A294-49201B1BB06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333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6D328E8-911C-4850-9659-254E18E4F24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333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DD89371-E63F-453D-8559-E38B0A36836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333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087184A-19EE-42D9-BC7B-43054FB7842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333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7909DF5-0B19-4031-BF69-05F9695DC30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333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1B9DBE6-EADC-463D-9212-2DC061C8891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333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B4666A0-FFD3-4EAB-BD8E-E45DFDA4928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333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B978674-63F0-4EC6-AD97-8CA9D77C5E7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333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348A998-BB62-48EA-8A54-13F33EAFC30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13</xdr:row>
      <xdr:rowOff>438150</xdr:rowOff>
    </xdr:from>
    <xdr:to>
      <xdr:col>7</xdr:col>
      <xdr:colOff>2959100</xdr:colOff>
      <xdr:row>13</xdr:row>
      <xdr:rowOff>615950</xdr:rowOff>
    </xdr:to>
    <xdr:sp macro="" textlink="">
      <xdr:nvSpPr>
        <xdr:cNvPr id="333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13A1AA2-2411-4457-A59C-70E2BB563F4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8350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334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7469181-448B-443D-8AF0-CB1D4E1566E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334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00B215F-E1E4-4EF3-9179-75982071B48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334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515CFD0-82E8-40E8-A53D-54DA9EEBE00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334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78CA6E3-4C11-4CE1-ABB3-B8CB33D7611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334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9791C7B-21D5-4C72-BEBB-F47068AB436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334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9C99F3A-1C07-48B8-9753-3C789600A09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334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242628A-B0A5-428C-93D2-1CC78BEC726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334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624CAC9-0A3C-4B06-9617-C157BE1C83B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334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8BF73C3-020F-426C-8EAF-4EB6DFB20F7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334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B00BDDB-C5FA-4536-A4C8-839CDEE6A0C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335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6209D99-51C3-4099-9F70-5A55069FEF0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13</xdr:row>
      <xdr:rowOff>431800</xdr:rowOff>
    </xdr:from>
    <xdr:to>
      <xdr:col>7</xdr:col>
      <xdr:colOff>3917950</xdr:colOff>
      <xdr:row>13</xdr:row>
      <xdr:rowOff>609600</xdr:rowOff>
    </xdr:to>
    <xdr:sp macro="" textlink="">
      <xdr:nvSpPr>
        <xdr:cNvPr id="335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385585A-FC77-4706-9A55-0393AF55A5D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767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35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C953575-9719-44D0-A2BC-3CF7F5EA5DD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35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957A156-C262-4A77-81E0-7C2B416EF0C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35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6469D39-09FB-4207-B7A0-8E83491FC1A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35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AC5EA7A-4F8B-4599-A35E-09C0C01FD50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35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285EE24-CB10-4B97-AF64-5C745423090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35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B71942D-BCAF-4293-A6A3-C56951272A3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35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90D76C5-42F5-4880-9FE3-2B05570BADD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35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223B945-0E79-4787-AFF8-2F005CC5FF5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36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307AE9F-E66C-455E-AEDC-68D04103F3A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36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2BD1280-8BCD-4A6A-A03A-7CE79168458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36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BBB3038-D05B-4FD1-8C63-249DB1B12E2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254000</xdr:rowOff>
    </xdr:from>
    <xdr:to>
      <xdr:col>7</xdr:col>
      <xdr:colOff>2959100</xdr:colOff>
      <xdr:row>12</xdr:row>
      <xdr:rowOff>431800</xdr:rowOff>
    </xdr:to>
    <xdr:sp macro="" textlink="">
      <xdr:nvSpPr>
        <xdr:cNvPr id="336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3A31879-36AE-491B-9D84-4D4D2EA01C6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8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36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54558F3-B415-4F59-BD69-C875BA76BD7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36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37B46DF-059E-4225-8996-3DAE0D434C3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36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FC70F33-0AFC-4275-A9C0-81BAC4E5579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36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E9CB089-5C46-4FED-A861-82E6BCB199B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36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72F39A5-AAA7-4966-80B1-0D12161706A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36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A91E83D-27E8-42A4-A38D-C9535B4CF27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37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00AFA3D-4D40-4F52-8430-F526E17836D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37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3D3A595-A28C-4D84-813B-244CBEC1C20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37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C84E055-9B09-4EBE-8A5C-11D50359E7B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37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91A7144-0693-4C2A-AC03-4ED2C6510F8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37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BB804FA-A542-470B-AF19-A8FE08D85F8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12</xdr:row>
      <xdr:rowOff>247650</xdr:rowOff>
    </xdr:from>
    <xdr:to>
      <xdr:col>7</xdr:col>
      <xdr:colOff>3917950</xdr:colOff>
      <xdr:row>12</xdr:row>
      <xdr:rowOff>425450</xdr:rowOff>
    </xdr:to>
    <xdr:sp macro="" textlink="">
      <xdr:nvSpPr>
        <xdr:cNvPr id="337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8CA6B78-0EFC-45AB-AE73-1EF6E36DD09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64210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337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35AB816-89B0-4AD4-A381-A33240F4DB1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337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5FF3214-B281-4AFE-A92B-2176C14E776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337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BDAFB54-B699-440D-AF77-C79EC4D7A0A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337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9B533D3-978B-45C8-8CFF-B16AEF4681E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338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CC8B579-12A7-45E5-AD33-7E8478A6863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338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A77AC12-281E-46FD-B85D-9E76D32915C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338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86B771D-31EA-4A89-B849-842936B5D25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338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C226DC1-89C0-414F-91A3-D02D863E897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338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722BA0C-7633-4C2C-A3C9-2AB779B574B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338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ED2279E-266E-4D25-9E90-91A278B431A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12</xdr:row>
      <xdr:rowOff>0</xdr:rowOff>
    </xdr:from>
    <xdr:to>
      <xdr:col>7</xdr:col>
      <xdr:colOff>2959100</xdr:colOff>
      <xdr:row>12</xdr:row>
      <xdr:rowOff>177800</xdr:rowOff>
    </xdr:to>
    <xdr:sp macro="" textlink="">
      <xdr:nvSpPr>
        <xdr:cNvPr id="338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D24A726-78FE-4565-BB7D-49E589786D8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6394450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338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9EB2644-DC4F-4CB4-AF98-94EC8DE9A674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338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D72888A-7FFE-42D7-973D-A74FCDB96274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338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B23BD76-A1C0-4FD7-BEA8-A4A8026D6F9F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339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3290C7E-CED3-4A65-B194-E52260211022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339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E19346D-2575-411B-96F4-819DF252E6C1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339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59B661B-8A64-4D07-BD07-DD25D930DF3C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339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3C1D77B-F89C-49A7-8D3B-FFF36D331AD2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339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5217C8D-FD34-43B4-BCBE-29F8C17F9021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339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C05AE36-F966-4FA8-B829-515CB1E8EC62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12</xdr:row>
      <xdr:rowOff>12700</xdr:rowOff>
    </xdr:from>
    <xdr:to>
      <xdr:col>7</xdr:col>
      <xdr:colOff>3924300</xdr:colOff>
      <xdr:row>12</xdr:row>
      <xdr:rowOff>190500</xdr:rowOff>
    </xdr:to>
    <xdr:sp macro="" textlink="">
      <xdr:nvSpPr>
        <xdr:cNvPr id="339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8DF8E49-29DA-407D-8340-ADD6AAF860E2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6407150"/>
          <a:ext cx="95885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39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6E2CE20-AF64-4746-89B6-3BB9F88B52C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39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F362120-86A6-42FA-B61B-EE41C9E2646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39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449AD50-CE7F-49F1-A7AC-62DBA613019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40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DB440A7-677A-4D0B-9CC8-8A7E6E005B7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40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109F1D4-D0B1-4B46-A0F2-FAB7BCEAB45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40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2928C0C-7632-49B5-8624-686233DCE0E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40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8BBB296-18AA-4E8E-92CB-08AC2855D7D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40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77E9612-2E6D-4F90-B2C9-F4C147F39AD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40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1CDD65C-6C41-4931-B113-6192077B1A0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40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5EE1B69-4F55-4851-8950-59A38F6F477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40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68C655C-966A-4A7A-BD4D-C25DFF5BA1B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40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5F03081-9477-4911-80A4-3D529DECD1D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340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14E49E1-C4EC-4E3C-BF2E-68968FEF337E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341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CE7D9B7-E48A-4974-B3AE-2E95CA64DCB4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341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654B413-C7EC-46CC-BB2C-AC4ADD0070AC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341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F101581-CFCA-49F6-B8C2-9DA270E07FEF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341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AA221AC-F59C-403C-8F82-6B85906B5F33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341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8D3AD23-C31F-4551-B35E-F9D716FEC1FB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341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CD61786-5F24-4D8A-97D4-B383DAFF1AF4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11</xdr:row>
      <xdr:rowOff>0</xdr:rowOff>
    </xdr:from>
    <xdr:to>
      <xdr:col>7</xdr:col>
      <xdr:colOff>3924300</xdr:colOff>
      <xdr:row>11</xdr:row>
      <xdr:rowOff>184150</xdr:rowOff>
    </xdr:to>
    <xdr:sp macro="" textlink="">
      <xdr:nvSpPr>
        <xdr:cNvPr id="341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AAC1750-41D6-479F-B62A-461E6610E48F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41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F5CE403-87FA-4046-83DA-FE3690B3ECD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41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9BBC189-94BB-4108-A109-7F1D44FD27A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41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7C88B5E-75D9-4A93-99E3-1268229296C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42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6637F9B-21A9-4BB7-87CF-C9200D69324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42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010FC62-1D78-4300-9988-A921574E097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42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FAB6E0C-6AB6-4154-97EA-CB66E5C4FD8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42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0242E20-0338-47AD-B4EF-548DDD15ADF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42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0EC49C8-2DB2-435C-B7A2-F860A9CE61B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42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E8B0B37-B5E9-426B-A07E-CA643906715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42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6838B0A-5175-483E-9B3D-561B6ECB706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42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46C600E-7B76-452E-A60D-3CCB4A43BE2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42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9211E1B-1AF7-411E-917F-C86CE2BE35F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42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DB2B5EF-7DB7-4EE8-9006-EF5BBAD80D2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43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9D69AD3-F1B3-41C2-A6BC-07D171CBF11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43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56C116F-947B-42A6-AEDF-50F58ABE341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43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4DE9D9B-47D2-4B6A-842C-22468A52E76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43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0C7A0C0-F5D6-4ED7-81B5-3F99703D20A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43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8ED5069-25D7-4AD9-B1BB-B492A3ABDF8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43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387195F-6561-453A-A809-1F386E38290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43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710C22B-931E-4088-B95F-796D029E4C9B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43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96B16FF-B1D3-4B30-9051-DCBB4EF11D2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43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C6FC1CC-4E67-4E0D-9C09-59CEC0A707E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43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95526F5-01A7-4820-8413-519C49D81BD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44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125B233-9B9D-4C40-9BA9-F5E392BC402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44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67FB74A-B958-49B1-B1B2-FAEF1B89A14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44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66B2AED-951E-4D20-9BAC-CACCBF14956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44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6A0CDEC-7075-4DF2-8CBE-A9111CD611A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44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B9C503D-FD99-4D80-9659-9B1D870D981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44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C251B8E-F5E7-4609-A8A3-CEC3A7A676E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44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68E5B85-D55F-444B-843A-BC86363D561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44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59004C4-075D-4962-AF91-0C49470DB50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44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BADA808-3A5F-4B8D-8D01-E25FFFD3511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44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D0ED747-7282-4C30-A24B-F401FFCF2EA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45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467CBBB-2864-49B1-B9CF-8F8692DD0A8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45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7BEC3AC-2776-4450-B5C1-F682FE95982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2959100</xdr:colOff>
      <xdr:row>11</xdr:row>
      <xdr:rowOff>184150</xdr:rowOff>
    </xdr:to>
    <xdr:sp macro="" textlink="">
      <xdr:nvSpPr>
        <xdr:cNvPr id="345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0673526-F36D-4ACF-95C3-932BBE7C84E1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345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FC4A4B2-E295-406B-81E8-A626F836A6A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345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BC41B46-A6B7-4D66-85A6-3D4854CE9F1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345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0D7E5CD-7003-405A-B038-9208DAD6638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345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6A85380-AB18-4E48-96FE-0FC0C06F5C6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345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D45BCEB-BA17-455C-ACB7-F953F72B5F5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345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F1526E2-7917-459A-9999-F5F7A8AC644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345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E8924D1-0834-4913-A821-BD417E9B757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346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9C85924-7CBE-4EE8-BF65-DFA7EDA8F4A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346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C2D75F5-4A9E-4449-9C8A-F3D0CA3600F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346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4A9C058-968D-4C95-9C4D-72A9C0C84CC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346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CC25829-3B17-4527-A7F0-46F41D00F7B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11</xdr:row>
      <xdr:rowOff>0</xdr:rowOff>
    </xdr:from>
    <xdr:to>
      <xdr:col>7</xdr:col>
      <xdr:colOff>3917950</xdr:colOff>
      <xdr:row>11</xdr:row>
      <xdr:rowOff>184150</xdr:rowOff>
    </xdr:to>
    <xdr:sp macro="" textlink="">
      <xdr:nvSpPr>
        <xdr:cNvPr id="346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19AB081-5B44-4CFE-BCBE-F48021D6A236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8450"/>
          <a:ext cx="958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317500</xdr:rowOff>
    </xdr:from>
    <xdr:to>
      <xdr:col>7</xdr:col>
      <xdr:colOff>3943350</xdr:colOff>
      <xdr:row>25</xdr:row>
      <xdr:rowOff>25400</xdr:rowOff>
    </xdr:to>
    <xdr:sp macro="" textlink="">
      <xdr:nvSpPr>
        <xdr:cNvPr id="346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1E2B726-D238-4E4D-8632-81E1B66ECD3C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652500"/>
          <a:ext cx="9779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317500</xdr:rowOff>
    </xdr:from>
    <xdr:to>
      <xdr:col>7</xdr:col>
      <xdr:colOff>3943350</xdr:colOff>
      <xdr:row>25</xdr:row>
      <xdr:rowOff>25400</xdr:rowOff>
    </xdr:to>
    <xdr:sp macro="" textlink="">
      <xdr:nvSpPr>
        <xdr:cNvPr id="346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54DD5E6-1877-4A7E-8E65-BC1AE673EE2F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652500"/>
          <a:ext cx="9779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317500</xdr:rowOff>
    </xdr:from>
    <xdr:to>
      <xdr:col>7</xdr:col>
      <xdr:colOff>3943350</xdr:colOff>
      <xdr:row>25</xdr:row>
      <xdr:rowOff>25400</xdr:rowOff>
    </xdr:to>
    <xdr:sp macro="" textlink="">
      <xdr:nvSpPr>
        <xdr:cNvPr id="346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B831E16-7BB2-4BA0-AF54-A08613D089B2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652500"/>
          <a:ext cx="9779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317500</xdr:rowOff>
    </xdr:from>
    <xdr:to>
      <xdr:col>7</xdr:col>
      <xdr:colOff>3943350</xdr:colOff>
      <xdr:row>25</xdr:row>
      <xdr:rowOff>25400</xdr:rowOff>
    </xdr:to>
    <xdr:sp macro="" textlink="">
      <xdr:nvSpPr>
        <xdr:cNvPr id="346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9641BFA-1CEE-45D2-9C56-C3C297927701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652500"/>
          <a:ext cx="9779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317500</xdr:rowOff>
    </xdr:from>
    <xdr:to>
      <xdr:col>7</xdr:col>
      <xdr:colOff>3943350</xdr:colOff>
      <xdr:row>25</xdr:row>
      <xdr:rowOff>25400</xdr:rowOff>
    </xdr:to>
    <xdr:sp macro="" textlink="">
      <xdr:nvSpPr>
        <xdr:cNvPr id="346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A40D7AE-4ED1-47E3-979C-F0058134E150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652500"/>
          <a:ext cx="9779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317500</xdr:rowOff>
    </xdr:from>
    <xdr:to>
      <xdr:col>7</xdr:col>
      <xdr:colOff>3943350</xdr:colOff>
      <xdr:row>25</xdr:row>
      <xdr:rowOff>25400</xdr:rowOff>
    </xdr:to>
    <xdr:sp macro="" textlink="">
      <xdr:nvSpPr>
        <xdr:cNvPr id="347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B465F88-B021-400C-8B72-9B6665D33457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652500"/>
          <a:ext cx="9779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317500</xdr:rowOff>
    </xdr:from>
    <xdr:to>
      <xdr:col>7</xdr:col>
      <xdr:colOff>3943350</xdr:colOff>
      <xdr:row>25</xdr:row>
      <xdr:rowOff>25400</xdr:rowOff>
    </xdr:to>
    <xdr:sp macro="" textlink="">
      <xdr:nvSpPr>
        <xdr:cNvPr id="347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B9C44AA-2009-45D6-8DA8-227ED12786F5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652500"/>
          <a:ext cx="9779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317500</xdr:rowOff>
    </xdr:from>
    <xdr:to>
      <xdr:col>7</xdr:col>
      <xdr:colOff>3943350</xdr:colOff>
      <xdr:row>25</xdr:row>
      <xdr:rowOff>25400</xdr:rowOff>
    </xdr:to>
    <xdr:sp macro="" textlink="">
      <xdr:nvSpPr>
        <xdr:cNvPr id="347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C7046937-C25A-48C9-9A7C-2831C9C2114C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652500"/>
          <a:ext cx="9779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317500</xdr:rowOff>
    </xdr:from>
    <xdr:to>
      <xdr:col>7</xdr:col>
      <xdr:colOff>3943350</xdr:colOff>
      <xdr:row>25</xdr:row>
      <xdr:rowOff>25400</xdr:rowOff>
    </xdr:to>
    <xdr:sp macro="" textlink="">
      <xdr:nvSpPr>
        <xdr:cNvPr id="347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60FE262-1217-4C54-A101-01E5E09A4C5A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652500"/>
          <a:ext cx="9779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317500</xdr:rowOff>
    </xdr:from>
    <xdr:to>
      <xdr:col>7</xdr:col>
      <xdr:colOff>3943350</xdr:colOff>
      <xdr:row>25</xdr:row>
      <xdr:rowOff>25400</xdr:rowOff>
    </xdr:to>
    <xdr:sp macro="" textlink="">
      <xdr:nvSpPr>
        <xdr:cNvPr id="347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65A1B09-755E-4489-BE01-8984B0E69716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652500"/>
          <a:ext cx="9779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317500</xdr:rowOff>
    </xdr:from>
    <xdr:to>
      <xdr:col>7</xdr:col>
      <xdr:colOff>3943350</xdr:colOff>
      <xdr:row>25</xdr:row>
      <xdr:rowOff>25400</xdr:rowOff>
    </xdr:to>
    <xdr:sp macro="" textlink="">
      <xdr:nvSpPr>
        <xdr:cNvPr id="347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DC6A899-5723-4AD9-9A9A-A72D75FDBFC4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652500"/>
          <a:ext cx="9779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317500</xdr:rowOff>
    </xdr:from>
    <xdr:to>
      <xdr:col>7</xdr:col>
      <xdr:colOff>3943350</xdr:colOff>
      <xdr:row>25</xdr:row>
      <xdr:rowOff>25400</xdr:rowOff>
    </xdr:to>
    <xdr:sp macro="" textlink="">
      <xdr:nvSpPr>
        <xdr:cNvPr id="347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9B18A5C-8C74-4490-A714-7AA4335F1B3E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652500"/>
          <a:ext cx="9779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317500</xdr:rowOff>
    </xdr:from>
    <xdr:to>
      <xdr:col>7</xdr:col>
      <xdr:colOff>3943350</xdr:colOff>
      <xdr:row>25</xdr:row>
      <xdr:rowOff>25400</xdr:rowOff>
    </xdr:to>
    <xdr:sp macro="" textlink="">
      <xdr:nvSpPr>
        <xdr:cNvPr id="347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EED6A6E-347B-44BF-9382-5824AA628CA5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652500"/>
          <a:ext cx="9779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317500</xdr:rowOff>
    </xdr:from>
    <xdr:to>
      <xdr:col>7</xdr:col>
      <xdr:colOff>3943350</xdr:colOff>
      <xdr:row>25</xdr:row>
      <xdr:rowOff>25400</xdr:rowOff>
    </xdr:to>
    <xdr:sp macro="" textlink="">
      <xdr:nvSpPr>
        <xdr:cNvPr id="347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263BF38-93A8-49F3-895D-40D76F63BCC6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652500"/>
          <a:ext cx="9779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317500</xdr:rowOff>
    </xdr:from>
    <xdr:to>
      <xdr:col>7</xdr:col>
      <xdr:colOff>3943350</xdr:colOff>
      <xdr:row>25</xdr:row>
      <xdr:rowOff>25400</xdr:rowOff>
    </xdr:to>
    <xdr:sp macro="" textlink="">
      <xdr:nvSpPr>
        <xdr:cNvPr id="347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7AD9F55-5F49-4A6C-BD46-AE02F0AE29BD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652500"/>
          <a:ext cx="9779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317500</xdr:rowOff>
    </xdr:from>
    <xdr:to>
      <xdr:col>7</xdr:col>
      <xdr:colOff>3943350</xdr:colOff>
      <xdr:row>25</xdr:row>
      <xdr:rowOff>25400</xdr:rowOff>
    </xdr:to>
    <xdr:sp macro="" textlink="">
      <xdr:nvSpPr>
        <xdr:cNvPr id="348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F78A837-3E6D-4CD0-A442-DBC197987C9A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652500"/>
          <a:ext cx="9779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317500</xdr:rowOff>
    </xdr:from>
    <xdr:to>
      <xdr:col>7</xdr:col>
      <xdr:colOff>3943350</xdr:colOff>
      <xdr:row>25</xdr:row>
      <xdr:rowOff>25400</xdr:rowOff>
    </xdr:to>
    <xdr:sp macro="" textlink="">
      <xdr:nvSpPr>
        <xdr:cNvPr id="348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8DFB08E-CB6B-41F8-BCB4-9924E7E39E5A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652500"/>
          <a:ext cx="9779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317500</xdr:rowOff>
    </xdr:from>
    <xdr:to>
      <xdr:col>7</xdr:col>
      <xdr:colOff>3943350</xdr:colOff>
      <xdr:row>25</xdr:row>
      <xdr:rowOff>25400</xdr:rowOff>
    </xdr:to>
    <xdr:sp macro="" textlink="">
      <xdr:nvSpPr>
        <xdr:cNvPr id="348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03EE382-EB86-4BE3-B98E-8473BC1476FB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652500"/>
          <a:ext cx="9779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317500</xdr:rowOff>
    </xdr:from>
    <xdr:to>
      <xdr:col>7</xdr:col>
      <xdr:colOff>3943350</xdr:colOff>
      <xdr:row>25</xdr:row>
      <xdr:rowOff>25400</xdr:rowOff>
    </xdr:to>
    <xdr:sp macro="" textlink="">
      <xdr:nvSpPr>
        <xdr:cNvPr id="348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B381982-092C-4DA4-9A60-6A01873A906F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652500"/>
          <a:ext cx="9779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317500</xdr:rowOff>
    </xdr:from>
    <xdr:to>
      <xdr:col>7</xdr:col>
      <xdr:colOff>3943350</xdr:colOff>
      <xdr:row>25</xdr:row>
      <xdr:rowOff>25400</xdr:rowOff>
    </xdr:to>
    <xdr:sp macro="" textlink="">
      <xdr:nvSpPr>
        <xdr:cNvPr id="348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0CEE863-87BC-48F6-8C07-68C30264D3F1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652500"/>
          <a:ext cx="9779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317500</xdr:rowOff>
    </xdr:from>
    <xdr:to>
      <xdr:col>7</xdr:col>
      <xdr:colOff>3943350</xdr:colOff>
      <xdr:row>25</xdr:row>
      <xdr:rowOff>25400</xdr:rowOff>
    </xdr:to>
    <xdr:sp macro="" textlink="">
      <xdr:nvSpPr>
        <xdr:cNvPr id="348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9C8A72CB-CAEF-4702-AA9F-99EC572AA7B9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652500"/>
          <a:ext cx="9779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317500</xdr:rowOff>
    </xdr:from>
    <xdr:to>
      <xdr:col>7</xdr:col>
      <xdr:colOff>3943350</xdr:colOff>
      <xdr:row>25</xdr:row>
      <xdr:rowOff>25400</xdr:rowOff>
    </xdr:to>
    <xdr:sp macro="" textlink="">
      <xdr:nvSpPr>
        <xdr:cNvPr id="348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11ABD7EB-44DE-48AE-9C96-1B7CE1B7F5B0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652500"/>
          <a:ext cx="9779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317500</xdr:rowOff>
    </xdr:from>
    <xdr:to>
      <xdr:col>7</xdr:col>
      <xdr:colOff>3943350</xdr:colOff>
      <xdr:row>25</xdr:row>
      <xdr:rowOff>25400</xdr:rowOff>
    </xdr:to>
    <xdr:sp macro="" textlink="">
      <xdr:nvSpPr>
        <xdr:cNvPr id="348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2F833A5-2241-4279-8C19-CE9C9ED1B514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652500"/>
          <a:ext cx="9779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2965450</xdr:colOff>
      <xdr:row>24</xdr:row>
      <xdr:rowOff>317500</xdr:rowOff>
    </xdr:from>
    <xdr:to>
      <xdr:col>7</xdr:col>
      <xdr:colOff>3943350</xdr:colOff>
      <xdr:row>25</xdr:row>
      <xdr:rowOff>25400</xdr:rowOff>
    </xdr:to>
    <xdr:sp macro="" textlink="">
      <xdr:nvSpPr>
        <xdr:cNvPr id="348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DFD9A7C-758E-41EE-8B43-707FCC9E0C57}"/>
            </a:ext>
          </a:extLst>
        </xdr:cNvPr>
        <xdr:cNvSpPr>
          <a:spLocks noChangeAspect="1" noChangeArrowheads="1"/>
        </xdr:cNvSpPr>
      </xdr:nvSpPr>
      <xdr:spPr bwMode="auto">
        <a:xfrm>
          <a:off x="13817600" y="13652500"/>
          <a:ext cx="9779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48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3B958DC-EC7A-4F8A-B7B1-99EEBD239ED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49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6321BF78-4328-420B-BC01-B4A4178297E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49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FEDD8C1D-3133-4F4D-92B1-DE3D695D817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49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0BDEDBC9-5D1E-4A41-913B-024371525D0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49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FBCEAEC-0DDC-4B64-9AA1-B5CA3FDFFC84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49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818F032-B3F0-4A55-9FE9-BB49A8EEDC9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49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70495D0-25E0-4C22-B7DE-11402B10403D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49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77B40ED-B06F-4613-8532-F18682F7483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49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E4A8F89E-53D4-44B1-9E7F-A3B485AF1D4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49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734465C-9A53-4B60-8FA1-364D497DF5A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49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46926A5-FB66-4207-B5B1-372AC4C11DD0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50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B625D19F-BA4A-43CF-B3CD-CC0F40410E9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50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343FB133-A708-4680-BFF1-EC5D8D7A165F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50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4E3448C-334C-42B4-81CD-FBE9D2FED5EA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503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6811964-F957-4E70-B763-EFBBBCC176A3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504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4169EA36-371B-443B-B062-22F5CF3FFCEC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505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A118AEFB-7473-41E0-AD4E-8BE6FAC5393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506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352EAB1-3047-4AFE-9336-373F4EDA72B9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507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2C156DA1-590C-43A5-965B-E3F1FEA105F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508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D345E5F9-B885-4B77-9975-5458E467E5BE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509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DC7995F-995F-4C89-B1DF-EE5375F8BD5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510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77DF69B7-F867-44EB-9B03-33BC347872C5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511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5554A72B-552E-418E-931C-02323A4B7C07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2959100</xdr:colOff>
      <xdr:row>10</xdr:row>
      <xdr:rowOff>1022350</xdr:rowOff>
    </xdr:from>
    <xdr:to>
      <xdr:col>7</xdr:col>
      <xdr:colOff>3917950</xdr:colOff>
      <xdr:row>11</xdr:row>
      <xdr:rowOff>165100</xdr:rowOff>
    </xdr:to>
    <xdr:sp macro="" textlink="">
      <xdr:nvSpPr>
        <xdr:cNvPr id="3512" name="AutoShape 377" descr="http://mail.hichina.com/attachment/downloadex?ri=%2Falimail%2FinternalLinks%2FrefreshToken&amp;o=1&amp;et=normal&amp;f=d75cae1a-1ea2-49c2-a967-6580279bd44b&amp;e=jade_xu%40varroctyc.com&amp;n=Catch%2801-14-10-34-43%29.jpg&amp;m=2_0%3ADzzzzyXl-dk%24---.DlHt0S2&amp;ext=jpg">
          <a:extLst>
            <a:ext uri="{FF2B5EF4-FFF2-40B4-BE49-F238E27FC236}">
              <a16:creationId xmlns:a16="http://schemas.microsoft.com/office/drawing/2014/main" id="{8E90302B-9612-41F0-AD54-F1CAFE0C06F2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5372100"/>
          <a:ext cx="9588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574FC-39F8-4197-9FAF-5DF40543AF5E}">
  <sheetPr>
    <pageSetUpPr fitToPage="1"/>
  </sheetPr>
  <dimension ref="A1:T65"/>
  <sheetViews>
    <sheetView tabSelected="1" zoomScale="84" zoomScaleNormal="84" workbookViewId="0">
      <selection activeCell="C7" sqref="C7:G7"/>
    </sheetView>
  </sheetViews>
  <sheetFormatPr defaultColWidth="8.08984375" defaultRowHeight="15.5"/>
  <cols>
    <col min="1" max="1" width="11.54296875" style="9" customWidth="1"/>
    <col min="2" max="2" width="11.6328125" style="9" customWidth="1"/>
    <col min="3" max="3" width="24.54296875" style="9" customWidth="1"/>
    <col min="4" max="4" width="27.26953125" style="151" customWidth="1"/>
    <col min="5" max="5" width="8" style="151" customWidth="1"/>
    <col min="6" max="6" width="26.90625" style="152" customWidth="1"/>
    <col min="7" max="7" width="45.453125" style="7" customWidth="1"/>
    <col min="8" max="8" width="61.26953125" style="7" customWidth="1"/>
    <col min="9" max="9" width="41.453125" style="107" customWidth="1"/>
    <col min="10" max="10" width="8.90625" style="7" customWidth="1"/>
    <col min="11" max="11" width="15.54296875" style="7" customWidth="1"/>
    <col min="12" max="12" width="13.54296875" style="143" customWidth="1"/>
    <col min="13" max="13" width="32.81640625" style="9" customWidth="1"/>
    <col min="14" max="14" width="23.453125" style="144" customWidth="1"/>
    <col min="15" max="15" width="8.08984375" style="9"/>
    <col min="16" max="17" width="24.453125" style="9" customWidth="1"/>
    <col min="18" max="256" width="8.08984375" style="9"/>
    <col min="257" max="257" width="11.54296875" style="9" customWidth="1"/>
    <col min="258" max="258" width="11.6328125" style="9" customWidth="1"/>
    <col min="259" max="259" width="24.54296875" style="9" customWidth="1"/>
    <col min="260" max="260" width="27.26953125" style="9" customWidth="1"/>
    <col min="261" max="261" width="8" style="9" customWidth="1"/>
    <col min="262" max="262" width="26.90625" style="9" customWidth="1"/>
    <col min="263" max="263" width="45.453125" style="9" customWidth="1"/>
    <col min="264" max="264" width="61.26953125" style="9" customWidth="1"/>
    <col min="265" max="265" width="41.453125" style="9" customWidth="1"/>
    <col min="266" max="266" width="8.90625" style="9" customWidth="1"/>
    <col min="267" max="267" width="15.54296875" style="9" customWidth="1"/>
    <col min="268" max="268" width="13.54296875" style="9" customWidth="1"/>
    <col min="269" max="269" width="32.81640625" style="9" customWidth="1"/>
    <col min="270" max="270" width="23.453125" style="9" customWidth="1"/>
    <col min="271" max="271" width="8.08984375" style="9"/>
    <col min="272" max="273" width="24.453125" style="9" customWidth="1"/>
    <col min="274" max="512" width="8.08984375" style="9"/>
    <col min="513" max="513" width="11.54296875" style="9" customWidth="1"/>
    <col min="514" max="514" width="11.6328125" style="9" customWidth="1"/>
    <col min="515" max="515" width="24.54296875" style="9" customWidth="1"/>
    <col min="516" max="516" width="27.26953125" style="9" customWidth="1"/>
    <col min="517" max="517" width="8" style="9" customWidth="1"/>
    <col min="518" max="518" width="26.90625" style="9" customWidth="1"/>
    <col min="519" max="519" width="45.453125" style="9" customWidth="1"/>
    <col min="520" max="520" width="61.26953125" style="9" customWidth="1"/>
    <col min="521" max="521" width="41.453125" style="9" customWidth="1"/>
    <col min="522" max="522" width="8.90625" style="9" customWidth="1"/>
    <col min="523" max="523" width="15.54296875" style="9" customWidth="1"/>
    <col min="524" max="524" width="13.54296875" style="9" customWidth="1"/>
    <col min="525" max="525" width="32.81640625" style="9" customWidth="1"/>
    <col min="526" max="526" width="23.453125" style="9" customWidth="1"/>
    <col min="527" max="527" width="8.08984375" style="9"/>
    <col min="528" max="529" width="24.453125" style="9" customWidth="1"/>
    <col min="530" max="768" width="8.08984375" style="9"/>
    <col min="769" max="769" width="11.54296875" style="9" customWidth="1"/>
    <col min="770" max="770" width="11.6328125" style="9" customWidth="1"/>
    <col min="771" max="771" width="24.54296875" style="9" customWidth="1"/>
    <col min="772" max="772" width="27.26953125" style="9" customWidth="1"/>
    <col min="773" max="773" width="8" style="9" customWidth="1"/>
    <col min="774" max="774" width="26.90625" style="9" customWidth="1"/>
    <col min="775" max="775" width="45.453125" style="9" customWidth="1"/>
    <col min="776" max="776" width="61.26953125" style="9" customWidth="1"/>
    <col min="777" max="777" width="41.453125" style="9" customWidth="1"/>
    <col min="778" max="778" width="8.90625" style="9" customWidth="1"/>
    <col min="779" max="779" width="15.54296875" style="9" customWidth="1"/>
    <col min="780" max="780" width="13.54296875" style="9" customWidth="1"/>
    <col min="781" max="781" width="32.81640625" style="9" customWidth="1"/>
    <col min="782" max="782" width="23.453125" style="9" customWidth="1"/>
    <col min="783" max="783" width="8.08984375" style="9"/>
    <col min="784" max="785" width="24.453125" style="9" customWidth="1"/>
    <col min="786" max="1024" width="8.08984375" style="9"/>
    <col min="1025" max="1025" width="11.54296875" style="9" customWidth="1"/>
    <col min="1026" max="1026" width="11.6328125" style="9" customWidth="1"/>
    <col min="1027" max="1027" width="24.54296875" style="9" customWidth="1"/>
    <col min="1028" max="1028" width="27.26953125" style="9" customWidth="1"/>
    <col min="1029" max="1029" width="8" style="9" customWidth="1"/>
    <col min="1030" max="1030" width="26.90625" style="9" customWidth="1"/>
    <col min="1031" max="1031" width="45.453125" style="9" customWidth="1"/>
    <col min="1032" max="1032" width="61.26953125" style="9" customWidth="1"/>
    <col min="1033" max="1033" width="41.453125" style="9" customWidth="1"/>
    <col min="1034" max="1034" width="8.90625" style="9" customWidth="1"/>
    <col min="1035" max="1035" width="15.54296875" style="9" customWidth="1"/>
    <col min="1036" max="1036" width="13.54296875" style="9" customWidth="1"/>
    <col min="1037" max="1037" width="32.81640625" style="9" customWidth="1"/>
    <col min="1038" max="1038" width="23.453125" style="9" customWidth="1"/>
    <col min="1039" max="1039" width="8.08984375" style="9"/>
    <col min="1040" max="1041" width="24.453125" style="9" customWidth="1"/>
    <col min="1042" max="1280" width="8.08984375" style="9"/>
    <col min="1281" max="1281" width="11.54296875" style="9" customWidth="1"/>
    <col min="1282" max="1282" width="11.6328125" style="9" customWidth="1"/>
    <col min="1283" max="1283" width="24.54296875" style="9" customWidth="1"/>
    <col min="1284" max="1284" width="27.26953125" style="9" customWidth="1"/>
    <col min="1285" max="1285" width="8" style="9" customWidth="1"/>
    <col min="1286" max="1286" width="26.90625" style="9" customWidth="1"/>
    <col min="1287" max="1287" width="45.453125" style="9" customWidth="1"/>
    <col min="1288" max="1288" width="61.26953125" style="9" customWidth="1"/>
    <col min="1289" max="1289" width="41.453125" style="9" customWidth="1"/>
    <col min="1290" max="1290" width="8.90625" style="9" customWidth="1"/>
    <col min="1291" max="1291" width="15.54296875" style="9" customWidth="1"/>
    <col min="1292" max="1292" width="13.54296875" style="9" customWidth="1"/>
    <col min="1293" max="1293" width="32.81640625" style="9" customWidth="1"/>
    <col min="1294" max="1294" width="23.453125" style="9" customWidth="1"/>
    <col min="1295" max="1295" width="8.08984375" style="9"/>
    <col min="1296" max="1297" width="24.453125" style="9" customWidth="1"/>
    <col min="1298" max="1536" width="8.08984375" style="9"/>
    <col min="1537" max="1537" width="11.54296875" style="9" customWidth="1"/>
    <col min="1538" max="1538" width="11.6328125" style="9" customWidth="1"/>
    <col min="1539" max="1539" width="24.54296875" style="9" customWidth="1"/>
    <col min="1540" max="1540" width="27.26953125" style="9" customWidth="1"/>
    <col min="1541" max="1541" width="8" style="9" customWidth="1"/>
    <col min="1542" max="1542" width="26.90625" style="9" customWidth="1"/>
    <col min="1543" max="1543" width="45.453125" style="9" customWidth="1"/>
    <col min="1544" max="1544" width="61.26953125" style="9" customWidth="1"/>
    <col min="1545" max="1545" width="41.453125" style="9" customWidth="1"/>
    <col min="1546" max="1546" width="8.90625" style="9" customWidth="1"/>
    <col min="1547" max="1547" width="15.54296875" style="9" customWidth="1"/>
    <col min="1548" max="1548" width="13.54296875" style="9" customWidth="1"/>
    <col min="1549" max="1549" width="32.81640625" style="9" customWidth="1"/>
    <col min="1550" max="1550" width="23.453125" style="9" customWidth="1"/>
    <col min="1551" max="1551" width="8.08984375" style="9"/>
    <col min="1552" max="1553" width="24.453125" style="9" customWidth="1"/>
    <col min="1554" max="1792" width="8.08984375" style="9"/>
    <col min="1793" max="1793" width="11.54296875" style="9" customWidth="1"/>
    <col min="1794" max="1794" width="11.6328125" style="9" customWidth="1"/>
    <col min="1795" max="1795" width="24.54296875" style="9" customWidth="1"/>
    <col min="1796" max="1796" width="27.26953125" style="9" customWidth="1"/>
    <col min="1797" max="1797" width="8" style="9" customWidth="1"/>
    <col min="1798" max="1798" width="26.90625" style="9" customWidth="1"/>
    <col min="1799" max="1799" width="45.453125" style="9" customWidth="1"/>
    <col min="1800" max="1800" width="61.26953125" style="9" customWidth="1"/>
    <col min="1801" max="1801" width="41.453125" style="9" customWidth="1"/>
    <col min="1802" max="1802" width="8.90625" style="9" customWidth="1"/>
    <col min="1803" max="1803" width="15.54296875" style="9" customWidth="1"/>
    <col min="1804" max="1804" width="13.54296875" style="9" customWidth="1"/>
    <col min="1805" max="1805" width="32.81640625" style="9" customWidth="1"/>
    <col min="1806" max="1806" width="23.453125" style="9" customWidth="1"/>
    <col min="1807" max="1807" width="8.08984375" style="9"/>
    <col min="1808" max="1809" width="24.453125" style="9" customWidth="1"/>
    <col min="1810" max="2048" width="8.08984375" style="9"/>
    <col min="2049" max="2049" width="11.54296875" style="9" customWidth="1"/>
    <col min="2050" max="2050" width="11.6328125" style="9" customWidth="1"/>
    <col min="2051" max="2051" width="24.54296875" style="9" customWidth="1"/>
    <col min="2052" max="2052" width="27.26953125" style="9" customWidth="1"/>
    <col min="2053" max="2053" width="8" style="9" customWidth="1"/>
    <col min="2054" max="2054" width="26.90625" style="9" customWidth="1"/>
    <col min="2055" max="2055" width="45.453125" style="9" customWidth="1"/>
    <col min="2056" max="2056" width="61.26953125" style="9" customWidth="1"/>
    <col min="2057" max="2057" width="41.453125" style="9" customWidth="1"/>
    <col min="2058" max="2058" width="8.90625" style="9" customWidth="1"/>
    <col min="2059" max="2059" width="15.54296875" style="9" customWidth="1"/>
    <col min="2060" max="2060" width="13.54296875" style="9" customWidth="1"/>
    <col min="2061" max="2061" width="32.81640625" style="9" customWidth="1"/>
    <col min="2062" max="2062" width="23.453125" style="9" customWidth="1"/>
    <col min="2063" max="2063" width="8.08984375" style="9"/>
    <col min="2064" max="2065" width="24.453125" style="9" customWidth="1"/>
    <col min="2066" max="2304" width="8.08984375" style="9"/>
    <col min="2305" max="2305" width="11.54296875" style="9" customWidth="1"/>
    <col min="2306" max="2306" width="11.6328125" style="9" customWidth="1"/>
    <col min="2307" max="2307" width="24.54296875" style="9" customWidth="1"/>
    <col min="2308" max="2308" width="27.26953125" style="9" customWidth="1"/>
    <col min="2309" max="2309" width="8" style="9" customWidth="1"/>
    <col min="2310" max="2310" width="26.90625" style="9" customWidth="1"/>
    <col min="2311" max="2311" width="45.453125" style="9" customWidth="1"/>
    <col min="2312" max="2312" width="61.26953125" style="9" customWidth="1"/>
    <col min="2313" max="2313" width="41.453125" style="9" customWidth="1"/>
    <col min="2314" max="2314" width="8.90625" style="9" customWidth="1"/>
    <col min="2315" max="2315" width="15.54296875" style="9" customWidth="1"/>
    <col min="2316" max="2316" width="13.54296875" style="9" customWidth="1"/>
    <col min="2317" max="2317" width="32.81640625" style="9" customWidth="1"/>
    <col min="2318" max="2318" width="23.453125" style="9" customWidth="1"/>
    <col min="2319" max="2319" width="8.08984375" style="9"/>
    <col min="2320" max="2321" width="24.453125" style="9" customWidth="1"/>
    <col min="2322" max="2560" width="8.08984375" style="9"/>
    <col min="2561" max="2561" width="11.54296875" style="9" customWidth="1"/>
    <col min="2562" max="2562" width="11.6328125" style="9" customWidth="1"/>
    <col min="2563" max="2563" width="24.54296875" style="9" customWidth="1"/>
    <col min="2564" max="2564" width="27.26953125" style="9" customWidth="1"/>
    <col min="2565" max="2565" width="8" style="9" customWidth="1"/>
    <col min="2566" max="2566" width="26.90625" style="9" customWidth="1"/>
    <col min="2567" max="2567" width="45.453125" style="9" customWidth="1"/>
    <col min="2568" max="2568" width="61.26953125" style="9" customWidth="1"/>
    <col min="2569" max="2569" width="41.453125" style="9" customWidth="1"/>
    <col min="2570" max="2570" width="8.90625" style="9" customWidth="1"/>
    <col min="2571" max="2571" width="15.54296875" style="9" customWidth="1"/>
    <col min="2572" max="2572" width="13.54296875" style="9" customWidth="1"/>
    <col min="2573" max="2573" width="32.81640625" style="9" customWidth="1"/>
    <col min="2574" max="2574" width="23.453125" style="9" customWidth="1"/>
    <col min="2575" max="2575" width="8.08984375" style="9"/>
    <col min="2576" max="2577" width="24.453125" style="9" customWidth="1"/>
    <col min="2578" max="2816" width="8.08984375" style="9"/>
    <col min="2817" max="2817" width="11.54296875" style="9" customWidth="1"/>
    <col min="2818" max="2818" width="11.6328125" style="9" customWidth="1"/>
    <col min="2819" max="2819" width="24.54296875" style="9" customWidth="1"/>
    <col min="2820" max="2820" width="27.26953125" style="9" customWidth="1"/>
    <col min="2821" max="2821" width="8" style="9" customWidth="1"/>
    <col min="2822" max="2822" width="26.90625" style="9" customWidth="1"/>
    <col min="2823" max="2823" width="45.453125" style="9" customWidth="1"/>
    <col min="2824" max="2824" width="61.26953125" style="9" customWidth="1"/>
    <col min="2825" max="2825" width="41.453125" style="9" customWidth="1"/>
    <col min="2826" max="2826" width="8.90625" style="9" customWidth="1"/>
    <col min="2827" max="2827" width="15.54296875" style="9" customWidth="1"/>
    <col min="2828" max="2828" width="13.54296875" style="9" customWidth="1"/>
    <col min="2829" max="2829" width="32.81640625" style="9" customWidth="1"/>
    <col min="2830" max="2830" width="23.453125" style="9" customWidth="1"/>
    <col min="2831" max="2831" width="8.08984375" style="9"/>
    <col min="2832" max="2833" width="24.453125" style="9" customWidth="1"/>
    <col min="2834" max="3072" width="8.08984375" style="9"/>
    <col min="3073" max="3073" width="11.54296875" style="9" customWidth="1"/>
    <col min="3074" max="3074" width="11.6328125" style="9" customWidth="1"/>
    <col min="3075" max="3075" width="24.54296875" style="9" customWidth="1"/>
    <col min="3076" max="3076" width="27.26953125" style="9" customWidth="1"/>
    <col min="3077" max="3077" width="8" style="9" customWidth="1"/>
    <col min="3078" max="3078" width="26.90625" style="9" customWidth="1"/>
    <col min="3079" max="3079" width="45.453125" style="9" customWidth="1"/>
    <col min="3080" max="3080" width="61.26953125" style="9" customWidth="1"/>
    <col min="3081" max="3081" width="41.453125" style="9" customWidth="1"/>
    <col min="3082" max="3082" width="8.90625" style="9" customWidth="1"/>
    <col min="3083" max="3083" width="15.54296875" style="9" customWidth="1"/>
    <col min="3084" max="3084" width="13.54296875" style="9" customWidth="1"/>
    <col min="3085" max="3085" width="32.81640625" style="9" customWidth="1"/>
    <col min="3086" max="3086" width="23.453125" style="9" customWidth="1"/>
    <col min="3087" max="3087" width="8.08984375" style="9"/>
    <col min="3088" max="3089" width="24.453125" style="9" customWidth="1"/>
    <col min="3090" max="3328" width="8.08984375" style="9"/>
    <col min="3329" max="3329" width="11.54296875" style="9" customWidth="1"/>
    <col min="3330" max="3330" width="11.6328125" style="9" customWidth="1"/>
    <col min="3331" max="3331" width="24.54296875" style="9" customWidth="1"/>
    <col min="3332" max="3332" width="27.26953125" style="9" customWidth="1"/>
    <col min="3333" max="3333" width="8" style="9" customWidth="1"/>
    <col min="3334" max="3334" width="26.90625" style="9" customWidth="1"/>
    <col min="3335" max="3335" width="45.453125" style="9" customWidth="1"/>
    <col min="3336" max="3336" width="61.26953125" style="9" customWidth="1"/>
    <col min="3337" max="3337" width="41.453125" style="9" customWidth="1"/>
    <col min="3338" max="3338" width="8.90625" style="9" customWidth="1"/>
    <col min="3339" max="3339" width="15.54296875" style="9" customWidth="1"/>
    <col min="3340" max="3340" width="13.54296875" style="9" customWidth="1"/>
    <col min="3341" max="3341" width="32.81640625" style="9" customWidth="1"/>
    <col min="3342" max="3342" width="23.453125" style="9" customWidth="1"/>
    <col min="3343" max="3343" width="8.08984375" style="9"/>
    <col min="3344" max="3345" width="24.453125" style="9" customWidth="1"/>
    <col min="3346" max="3584" width="8.08984375" style="9"/>
    <col min="3585" max="3585" width="11.54296875" style="9" customWidth="1"/>
    <col min="3586" max="3586" width="11.6328125" style="9" customWidth="1"/>
    <col min="3587" max="3587" width="24.54296875" style="9" customWidth="1"/>
    <col min="3588" max="3588" width="27.26953125" style="9" customWidth="1"/>
    <col min="3589" max="3589" width="8" style="9" customWidth="1"/>
    <col min="3590" max="3590" width="26.90625" style="9" customWidth="1"/>
    <col min="3591" max="3591" width="45.453125" style="9" customWidth="1"/>
    <col min="3592" max="3592" width="61.26953125" style="9" customWidth="1"/>
    <col min="3593" max="3593" width="41.453125" style="9" customWidth="1"/>
    <col min="3594" max="3594" width="8.90625" style="9" customWidth="1"/>
    <col min="3595" max="3595" width="15.54296875" style="9" customWidth="1"/>
    <col min="3596" max="3596" width="13.54296875" style="9" customWidth="1"/>
    <col min="3597" max="3597" width="32.81640625" style="9" customWidth="1"/>
    <col min="3598" max="3598" width="23.453125" style="9" customWidth="1"/>
    <col min="3599" max="3599" width="8.08984375" style="9"/>
    <col min="3600" max="3601" width="24.453125" style="9" customWidth="1"/>
    <col min="3602" max="3840" width="8.08984375" style="9"/>
    <col min="3841" max="3841" width="11.54296875" style="9" customWidth="1"/>
    <col min="3842" max="3842" width="11.6328125" style="9" customWidth="1"/>
    <col min="3843" max="3843" width="24.54296875" style="9" customWidth="1"/>
    <col min="3844" max="3844" width="27.26953125" style="9" customWidth="1"/>
    <col min="3845" max="3845" width="8" style="9" customWidth="1"/>
    <col min="3846" max="3846" width="26.90625" style="9" customWidth="1"/>
    <col min="3847" max="3847" width="45.453125" style="9" customWidth="1"/>
    <col min="3848" max="3848" width="61.26953125" style="9" customWidth="1"/>
    <col min="3849" max="3849" width="41.453125" style="9" customWidth="1"/>
    <col min="3850" max="3850" width="8.90625" style="9" customWidth="1"/>
    <col min="3851" max="3851" width="15.54296875" style="9" customWidth="1"/>
    <col min="3852" max="3852" width="13.54296875" style="9" customWidth="1"/>
    <col min="3853" max="3853" width="32.81640625" style="9" customWidth="1"/>
    <col min="3854" max="3854" width="23.453125" style="9" customWidth="1"/>
    <col min="3855" max="3855" width="8.08984375" style="9"/>
    <col min="3856" max="3857" width="24.453125" style="9" customWidth="1"/>
    <col min="3858" max="4096" width="8.08984375" style="9"/>
    <col min="4097" max="4097" width="11.54296875" style="9" customWidth="1"/>
    <col min="4098" max="4098" width="11.6328125" style="9" customWidth="1"/>
    <col min="4099" max="4099" width="24.54296875" style="9" customWidth="1"/>
    <col min="4100" max="4100" width="27.26953125" style="9" customWidth="1"/>
    <col min="4101" max="4101" width="8" style="9" customWidth="1"/>
    <col min="4102" max="4102" width="26.90625" style="9" customWidth="1"/>
    <col min="4103" max="4103" width="45.453125" style="9" customWidth="1"/>
    <col min="4104" max="4104" width="61.26953125" style="9" customWidth="1"/>
    <col min="4105" max="4105" width="41.453125" style="9" customWidth="1"/>
    <col min="4106" max="4106" width="8.90625" style="9" customWidth="1"/>
    <col min="4107" max="4107" width="15.54296875" style="9" customWidth="1"/>
    <col min="4108" max="4108" width="13.54296875" style="9" customWidth="1"/>
    <col min="4109" max="4109" width="32.81640625" style="9" customWidth="1"/>
    <col min="4110" max="4110" width="23.453125" style="9" customWidth="1"/>
    <col min="4111" max="4111" width="8.08984375" style="9"/>
    <col min="4112" max="4113" width="24.453125" style="9" customWidth="1"/>
    <col min="4114" max="4352" width="8.08984375" style="9"/>
    <col min="4353" max="4353" width="11.54296875" style="9" customWidth="1"/>
    <col min="4354" max="4354" width="11.6328125" style="9" customWidth="1"/>
    <col min="4355" max="4355" width="24.54296875" style="9" customWidth="1"/>
    <col min="4356" max="4356" width="27.26953125" style="9" customWidth="1"/>
    <col min="4357" max="4357" width="8" style="9" customWidth="1"/>
    <col min="4358" max="4358" width="26.90625" style="9" customWidth="1"/>
    <col min="4359" max="4359" width="45.453125" style="9" customWidth="1"/>
    <col min="4360" max="4360" width="61.26953125" style="9" customWidth="1"/>
    <col min="4361" max="4361" width="41.453125" style="9" customWidth="1"/>
    <col min="4362" max="4362" width="8.90625" style="9" customWidth="1"/>
    <col min="4363" max="4363" width="15.54296875" style="9" customWidth="1"/>
    <col min="4364" max="4364" width="13.54296875" style="9" customWidth="1"/>
    <col min="4365" max="4365" width="32.81640625" style="9" customWidth="1"/>
    <col min="4366" max="4366" width="23.453125" style="9" customWidth="1"/>
    <col min="4367" max="4367" width="8.08984375" style="9"/>
    <col min="4368" max="4369" width="24.453125" style="9" customWidth="1"/>
    <col min="4370" max="4608" width="8.08984375" style="9"/>
    <col min="4609" max="4609" width="11.54296875" style="9" customWidth="1"/>
    <col min="4610" max="4610" width="11.6328125" style="9" customWidth="1"/>
    <col min="4611" max="4611" width="24.54296875" style="9" customWidth="1"/>
    <col min="4612" max="4612" width="27.26953125" style="9" customWidth="1"/>
    <col min="4613" max="4613" width="8" style="9" customWidth="1"/>
    <col min="4614" max="4614" width="26.90625" style="9" customWidth="1"/>
    <col min="4615" max="4615" width="45.453125" style="9" customWidth="1"/>
    <col min="4616" max="4616" width="61.26953125" style="9" customWidth="1"/>
    <col min="4617" max="4617" width="41.453125" style="9" customWidth="1"/>
    <col min="4618" max="4618" width="8.90625" style="9" customWidth="1"/>
    <col min="4619" max="4619" width="15.54296875" style="9" customWidth="1"/>
    <col min="4620" max="4620" width="13.54296875" style="9" customWidth="1"/>
    <col min="4621" max="4621" width="32.81640625" style="9" customWidth="1"/>
    <col min="4622" max="4622" width="23.453125" style="9" customWidth="1"/>
    <col min="4623" max="4623" width="8.08984375" style="9"/>
    <col min="4624" max="4625" width="24.453125" style="9" customWidth="1"/>
    <col min="4626" max="4864" width="8.08984375" style="9"/>
    <col min="4865" max="4865" width="11.54296875" style="9" customWidth="1"/>
    <col min="4866" max="4866" width="11.6328125" style="9" customWidth="1"/>
    <col min="4867" max="4867" width="24.54296875" style="9" customWidth="1"/>
    <col min="4868" max="4868" width="27.26953125" style="9" customWidth="1"/>
    <col min="4869" max="4869" width="8" style="9" customWidth="1"/>
    <col min="4870" max="4870" width="26.90625" style="9" customWidth="1"/>
    <col min="4871" max="4871" width="45.453125" style="9" customWidth="1"/>
    <col min="4872" max="4872" width="61.26953125" style="9" customWidth="1"/>
    <col min="4873" max="4873" width="41.453125" style="9" customWidth="1"/>
    <col min="4874" max="4874" width="8.90625" style="9" customWidth="1"/>
    <col min="4875" max="4875" width="15.54296875" style="9" customWidth="1"/>
    <col min="4876" max="4876" width="13.54296875" style="9" customWidth="1"/>
    <col min="4877" max="4877" width="32.81640625" style="9" customWidth="1"/>
    <col min="4878" max="4878" width="23.453125" style="9" customWidth="1"/>
    <col min="4879" max="4879" width="8.08984375" style="9"/>
    <col min="4880" max="4881" width="24.453125" style="9" customWidth="1"/>
    <col min="4882" max="5120" width="8.08984375" style="9"/>
    <col min="5121" max="5121" width="11.54296875" style="9" customWidth="1"/>
    <col min="5122" max="5122" width="11.6328125" style="9" customWidth="1"/>
    <col min="5123" max="5123" width="24.54296875" style="9" customWidth="1"/>
    <col min="5124" max="5124" width="27.26953125" style="9" customWidth="1"/>
    <col min="5125" max="5125" width="8" style="9" customWidth="1"/>
    <col min="5126" max="5126" width="26.90625" style="9" customWidth="1"/>
    <col min="5127" max="5127" width="45.453125" style="9" customWidth="1"/>
    <col min="5128" max="5128" width="61.26953125" style="9" customWidth="1"/>
    <col min="5129" max="5129" width="41.453125" style="9" customWidth="1"/>
    <col min="5130" max="5130" width="8.90625" style="9" customWidth="1"/>
    <col min="5131" max="5131" width="15.54296875" style="9" customWidth="1"/>
    <col min="5132" max="5132" width="13.54296875" style="9" customWidth="1"/>
    <col min="5133" max="5133" width="32.81640625" style="9" customWidth="1"/>
    <col min="5134" max="5134" width="23.453125" style="9" customWidth="1"/>
    <col min="5135" max="5135" width="8.08984375" style="9"/>
    <col min="5136" max="5137" width="24.453125" style="9" customWidth="1"/>
    <col min="5138" max="5376" width="8.08984375" style="9"/>
    <col min="5377" max="5377" width="11.54296875" style="9" customWidth="1"/>
    <col min="5378" max="5378" width="11.6328125" style="9" customWidth="1"/>
    <col min="5379" max="5379" width="24.54296875" style="9" customWidth="1"/>
    <col min="5380" max="5380" width="27.26953125" style="9" customWidth="1"/>
    <col min="5381" max="5381" width="8" style="9" customWidth="1"/>
    <col min="5382" max="5382" width="26.90625" style="9" customWidth="1"/>
    <col min="5383" max="5383" width="45.453125" style="9" customWidth="1"/>
    <col min="5384" max="5384" width="61.26953125" style="9" customWidth="1"/>
    <col min="5385" max="5385" width="41.453125" style="9" customWidth="1"/>
    <col min="5386" max="5386" width="8.90625" style="9" customWidth="1"/>
    <col min="5387" max="5387" width="15.54296875" style="9" customWidth="1"/>
    <col min="5388" max="5388" width="13.54296875" style="9" customWidth="1"/>
    <col min="5389" max="5389" width="32.81640625" style="9" customWidth="1"/>
    <col min="5390" max="5390" width="23.453125" style="9" customWidth="1"/>
    <col min="5391" max="5391" width="8.08984375" style="9"/>
    <col min="5392" max="5393" width="24.453125" style="9" customWidth="1"/>
    <col min="5394" max="5632" width="8.08984375" style="9"/>
    <col min="5633" max="5633" width="11.54296875" style="9" customWidth="1"/>
    <col min="5634" max="5634" width="11.6328125" style="9" customWidth="1"/>
    <col min="5635" max="5635" width="24.54296875" style="9" customWidth="1"/>
    <col min="5636" max="5636" width="27.26953125" style="9" customWidth="1"/>
    <col min="5637" max="5637" width="8" style="9" customWidth="1"/>
    <col min="5638" max="5638" width="26.90625" style="9" customWidth="1"/>
    <col min="5639" max="5639" width="45.453125" style="9" customWidth="1"/>
    <col min="5640" max="5640" width="61.26953125" style="9" customWidth="1"/>
    <col min="5641" max="5641" width="41.453125" style="9" customWidth="1"/>
    <col min="5642" max="5642" width="8.90625" style="9" customWidth="1"/>
    <col min="5643" max="5643" width="15.54296875" style="9" customWidth="1"/>
    <col min="5644" max="5644" width="13.54296875" style="9" customWidth="1"/>
    <col min="5645" max="5645" width="32.81640625" style="9" customWidth="1"/>
    <col min="5646" max="5646" width="23.453125" style="9" customWidth="1"/>
    <col min="5647" max="5647" width="8.08984375" style="9"/>
    <col min="5648" max="5649" width="24.453125" style="9" customWidth="1"/>
    <col min="5650" max="5888" width="8.08984375" style="9"/>
    <col min="5889" max="5889" width="11.54296875" style="9" customWidth="1"/>
    <col min="5890" max="5890" width="11.6328125" style="9" customWidth="1"/>
    <col min="5891" max="5891" width="24.54296875" style="9" customWidth="1"/>
    <col min="5892" max="5892" width="27.26953125" style="9" customWidth="1"/>
    <col min="5893" max="5893" width="8" style="9" customWidth="1"/>
    <col min="5894" max="5894" width="26.90625" style="9" customWidth="1"/>
    <col min="5895" max="5895" width="45.453125" style="9" customWidth="1"/>
    <col min="5896" max="5896" width="61.26953125" style="9" customWidth="1"/>
    <col min="5897" max="5897" width="41.453125" style="9" customWidth="1"/>
    <col min="5898" max="5898" width="8.90625" style="9" customWidth="1"/>
    <col min="5899" max="5899" width="15.54296875" style="9" customWidth="1"/>
    <col min="5900" max="5900" width="13.54296875" style="9" customWidth="1"/>
    <col min="5901" max="5901" width="32.81640625" style="9" customWidth="1"/>
    <col min="5902" max="5902" width="23.453125" style="9" customWidth="1"/>
    <col min="5903" max="5903" width="8.08984375" style="9"/>
    <col min="5904" max="5905" width="24.453125" style="9" customWidth="1"/>
    <col min="5906" max="6144" width="8.08984375" style="9"/>
    <col min="6145" max="6145" width="11.54296875" style="9" customWidth="1"/>
    <col min="6146" max="6146" width="11.6328125" style="9" customWidth="1"/>
    <col min="6147" max="6147" width="24.54296875" style="9" customWidth="1"/>
    <col min="6148" max="6148" width="27.26953125" style="9" customWidth="1"/>
    <col min="6149" max="6149" width="8" style="9" customWidth="1"/>
    <col min="6150" max="6150" width="26.90625" style="9" customWidth="1"/>
    <col min="6151" max="6151" width="45.453125" style="9" customWidth="1"/>
    <col min="6152" max="6152" width="61.26953125" style="9" customWidth="1"/>
    <col min="6153" max="6153" width="41.453125" style="9" customWidth="1"/>
    <col min="6154" max="6154" width="8.90625" style="9" customWidth="1"/>
    <col min="6155" max="6155" width="15.54296875" style="9" customWidth="1"/>
    <col min="6156" max="6156" width="13.54296875" style="9" customWidth="1"/>
    <col min="6157" max="6157" width="32.81640625" style="9" customWidth="1"/>
    <col min="6158" max="6158" width="23.453125" style="9" customWidth="1"/>
    <col min="6159" max="6159" width="8.08984375" style="9"/>
    <col min="6160" max="6161" width="24.453125" style="9" customWidth="1"/>
    <col min="6162" max="6400" width="8.08984375" style="9"/>
    <col min="6401" max="6401" width="11.54296875" style="9" customWidth="1"/>
    <col min="6402" max="6402" width="11.6328125" style="9" customWidth="1"/>
    <col min="6403" max="6403" width="24.54296875" style="9" customWidth="1"/>
    <col min="6404" max="6404" width="27.26953125" style="9" customWidth="1"/>
    <col min="6405" max="6405" width="8" style="9" customWidth="1"/>
    <col min="6406" max="6406" width="26.90625" style="9" customWidth="1"/>
    <col min="6407" max="6407" width="45.453125" style="9" customWidth="1"/>
    <col min="6408" max="6408" width="61.26953125" style="9" customWidth="1"/>
    <col min="6409" max="6409" width="41.453125" style="9" customWidth="1"/>
    <col min="6410" max="6410" width="8.90625" style="9" customWidth="1"/>
    <col min="6411" max="6411" width="15.54296875" style="9" customWidth="1"/>
    <col min="6412" max="6412" width="13.54296875" style="9" customWidth="1"/>
    <col min="6413" max="6413" width="32.81640625" style="9" customWidth="1"/>
    <col min="6414" max="6414" width="23.453125" style="9" customWidth="1"/>
    <col min="6415" max="6415" width="8.08984375" style="9"/>
    <col min="6416" max="6417" width="24.453125" style="9" customWidth="1"/>
    <col min="6418" max="6656" width="8.08984375" style="9"/>
    <col min="6657" max="6657" width="11.54296875" style="9" customWidth="1"/>
    <col min="6658" max="6658" width="11.6328125" style="9" customWidth="1"/>
    <col min="6659" max="6659" width="24.54296875" style="9" customWidth="1"/>
    <col min="6660" max="6660" width="27.26953125" style="9" customWidth="1"/>
    <col min="6661" max="6661" width="8" style="9" customWidth="1"/>
    <col min="6662" max="6662" width="26.90625" style="9" customWidth="1"/>
    <col min="6663" max="6663" width="45.453125" style="9" customWidth="1"/>
    <col min="6664" max="6664" width="61.26953125" style="9" customWidth="1"/>
    <col min="6665" max="6665" width="41.453125" style="9" customWidth="1"/>
    <col min="6666" max="6666" width="8.90625" style="9" customWidth="1"/>
    <col min="6667" max="6667" width="15.54296875" style="9" customWidth="1"/>
    <col min="6668" max="6668" width="13.54296875" style="9" customWidth="1"/>
    <col min="6669" max="6669" width="32.81640625" style="9" customWidth="1"/>
    <col min="6670" max="6670" width="23.453125" style="9" customWidth="1"/>
    <col min="6671" max="6671" width="8.08984375" style="9"/>
    <col min="6672" max="6673" width="24.453125" style="9" customWidth="1"/>
    <col min="6674" max="6912" width="8.08984375" style="9"/>
    <col min="6913" max="6913" width="11.54296875" style="9" customWidth="1"/>
    <col min="6914" max="6914" width="11.6328125" style="9" customWidth="1"/>
    <col min="6915" max="6915" width="24.54296875" style="9" customWidth="1"/>
    <col min="6916" max="6916" width="27.26953125" style="9" customWidth="1"/>
    <col min="6917" max="6917" width="8" style="9" customWidth="1"/>
    <col min="6918" max="6918" width="26.90625" style="9" customWidth="1"/>
    <col min="6919" max="6919" width="45.453125" style="9" customWidth="1"/>
    <col min="6920" max="6920" width="61.26953125" style="9" customWidth="1"/>
    <col min="6921" max="6921" width="41.453125" style="9" customWidth="1"/>
    <col min="6922" max="6922" width="8.90625" style="9" customWidth="1"/>
    <col min="6923" max="6923" width="15.54296875" style="9" customWidth="1"/>
    <col min="6924" max="6924" width="13.54296875" style="9" customWidth="1"/>
    <col min="6925" max="6925" width="32.81640625" style="9" customWidth="1"/>
    <col min="6926" max="6926" width="23.453125" style="9" customWidth="1"/>
    <col min="6927" max="6927" width="8.08984375" style="9"/>
    <col min="6928" max="6929" width="24.453125" style="9" customWidth="1"/>
    <col min="6930" max="7168" width="8.08984375" style="9"/>
    <col min="7169" max="7169" width="11.54296875" style="9" customWidth="1"/>
    <col min="7170" max="7170" width="11.6328125" style="9" customWidth="1"/>
    <col min="7171" max="7171" width="24.54296875" style="9" customWidth="1"/>
    <col min="7172" max="7172" width="27.26953125" style="9" customWidth="1"/>
    <col min="7173" max="7173" width="8" style="9" customWidth="1"/>
    <col min="7174" max="7174" width="26.90625" style="9" customWidth="1"/>
    <col min="7175" max="7175" width="45.453125" style="9" customWidth="1"/>
    <col min="7176" max="7176" width="61.26953125" style="9" customWidth="1"/>
    <col min="7177" max="7177" width="41.453125" style="9" customWidth="1"/>
    <col min="7178" max="7178" width="8.90625" style="9" customWidth="1"/>
    <col min="7179" max="7179" width="15.54296875" style="9" customWidth="1"/>
    <col min="7180" max="7180" width="13.54296875" style="9" customWidth="1"/>
    <col min="7181" max="7181" width="32.81640625" style="9" customWidth="1"/>
    <col min="7182" max="7182" width="23.453125" style="9" customWidth="1"/>
    <col min="7183" max="7183" width="8.08984375" style="9"/>
    <col min="7184" max="7185" width="24.453125" style="9" customWidth="1"/>
    <col min="7186" max="7424" width="8.08984375" style="9"/>
    <col min="7425" max="7425" width="11.54296875" style="9" customWidth="1"/>
    <col min="7426" max="7426" width="11.6328125" style="9" customWidth="1"/>
    <col min="7427" max="7427" width="24.54296875" style="9" customWidth="1"/>
    <col min="7428" max="7428" width="27.26953125" style="9" customWidth="1"/>
    <col min="7429" max="7429" width="8" style="9" customWidth="1"/>
    <col min="7430" max="7430" width="26.90625" style="9" customWidth="1"/>
    <col min="7431" max="7431" width="45.453125" style="9" customWidth="1"/>
    <col min="7432" max="7432" width="61.26953125" style="9" customWidth="1"/>
    <col min="7433" max="7433" width="41.453125" style="9" customWidth="1"/>
    <col min="7434" max="7434" width="8.90625" style="9" customWidth="1"/>
    <col min="7435" max="7435" width="15.54296875" style="9" customWidth="1"/>
    <col min="7436" max="7436" width="13.54296875" style="9" customWidth="1"/>
    <col min="7437" max="7437" width="32.81640625" style="9" customWidth="1"/>
    <col min="7438" max="7438" width="23.453125" style="9" customWidth="1"/>
    <col min="7439" max="7439" width="8.08984375" style="9"/>
    <col min="7440" max="7441" width="24.453125" style="9" customWidth="1"/>
    <col min="7442" max="7680" width="8.08984375" style="9"/>
    <col min="7681" max="7681" width="11.54296875" style="9" customWidth="1"/>
    <col min="7682" max="7682" width="11.6328125" style="9" customWidth="1"/>
    <col min="7683" max="7683" width="24.54296875" style="9" customWidth="1"/>
    <col min="7684" max="7684" width="27.26953125" style="9" customWidth="1"/>
    <col min="7685" max="7685" width="8" style="9" customWidth="1"/>
    <col min="7686" max="7686" width="26.90625" style="9" customWidth="1"/>
    <col min="7687" max="7687" width="45.453125" style="9" customWidth="1"/>
    <col min="7688" max="7688" width="61.26953125" style="9" customWidth="1"/>
    <col min="7689" max="7689" width="41.453125" style="9" customWidth="1"/>
    <col min="7690" max="7690" width="8.90625" style="9" customWidth="1"/>
    <col min="7691" max="7691" width="15.54296875" style="9" customWidth="1"/>
    <col min="7692" max="7692" width="13.54296875" style="9" customWidth="1"/>
    <col min="7693" max="7693" width="32.81640625" style="9" customWidth="1"/>
    <col min="7694" max="7694" width="23.453125" style="9" customWidth="1"/>
    <col min="7695" max="7695" width="8.08984375" style="9"/>
    <col min="7696" max="7697" width="24.453125" style="9" customWidth="1"/>
    <col min="7698" max="7936" width="8.08984375" style="9"/>
    <col min="7937" max="7937" width="11.54296875" style="9" customWidth="1"/>
    <col min="7938" max="7938" width="11.6328125" style="9" customWidth="1"/>
    <col min="7939" max="7939" width="24.54296875" style="9" customWidth="1"/>
    <col min="7940" max="7940" width="27.26953125" style="9" customWidth="1"/>
    <col min="7941" max="7941" width="8" style="9" customWidth="1"/>
    <col min="7942" max="7942" width="26.90625" style="9" customWidth="1"/>
    <col min="7943" max="7943" width="45.453125" style="9" customWidth="1"/>
    <col min="7944" max="7944" width="61.26953125" style="9" customWidth="1"/>
    <col min="7945" max="7945" width="41.453125" style="9" customWidth="1"/>
    <col min="7946" max="7946" width="8.90625" style="9" customWidth="1"/>
    <col min="7947" max="7947" width="15.54296875" style="9" customWidth="1"/>
    <col min="7948" max="7948" width="13.54296875" style="9" customWidth="1"/>
    <col min="7949" max="7949" width="32.81640625" style="9" customWidth="1"/>
    <col min="7950" max="7950" width="23.453125" style="9" customWidth="1"/>
    <col min="7951" max="7951" width="8.08984375" style="9"/>
    <col min="7952" max="7953" width="24.453125" style="9" customWidth="1"/>
    <col min="7954" max="8192" width="8.08984375" style="9"/>
    <col min="8193" max="8193" width="11.54296875" style="9" customWidth="1"/>
    <col min="8194" max="8194" width="11.6328125" style="9" customWidth="1"/>
    <col min="8195" max="8195" width="24.54296875" style="9" customWidth="1"/>
    <col min="8196" max="8196" width="27.26953125" style="9" customWidth="1"/>
    <col min="8197" max="8197" width="8" style="9" customWidth="1"/>
    <col min="8198" max="8198" width="26.90625" style="9" customWidth="1"/>
    <col min="8199" max="8199" width="45.453125" style="9" customWidth="1"/>
    <col min="8200" max="8200" width="61.26953125" style="9" customWidth="1"/>
    <col min="8201" max="8201" width="41.453125" style="9" customWidth="1"/>
    <col min="8202" max="8202" width="8.90625" style="9" customWidth="1"/>
    <col min="8203" max="8203" width="15.54296875" style="9" customWidth="1"/>
    <col min="8204" max="8204" width="13.54296875" style="9" customWidth="1"/>
    <col min="8205" max="8205" width="32.81640625" style="9" customWidth="1"/>
    <col min="8206" max="8206" width="23.453125" style="9" customWidth="1"/>
    <col min="8207" max="8207" width="8.08984375" style="9"/>
    <col min="8208" max="8209" width="24.453125" style="9" customWidth="1"/>
    <col min="8210" max="8448" width="8.08984375" style="9"/>
    <col min="8449" max="8449" width="11.54296875" style="9" customWidth="1"/>
    <col min="8450" max="8450" width="11.6328125" style="9" customWidth="1"/>
    <col min="8451" max="8451" width="24.54296875" style="9" customWidth="1"/>
    <col min="8452" max="8452" width="27.26953125" style="9" customWidth="1"/>
    <col min="8453" max="8453" width="8" style="9" customWidth="1"/>
    <col min="8454" max="8454" width="26.90625" style="9" customWidth="1"/>
    <col min="8455" max="8455" width="45.453125" style="9" customWidth="1"/>
    <col min="8456" max="8456" width="61.26953125" style="9" customWidth="1"/>
    <col min="8457" max="8457" width="41.453125" style="9" customWidth="1"/>
    <col min="8458" max="8458" width="8.90625" style="9" customWidth="1"/>
    <col min="8459" max="8459" width="15.54296875" style="9" customWidth="1"/>
    <col min="8460" max="8460" width="13.54296875" style="9" customWidth="1"/>
    <col min="8461" max="8461" width="32.81640625" style="9" customWidth="1"/>
    <col min="8462" max="8462" width="23.453125" style="9" customWidth="1"/>
    <col min="8463" max="8463" width="8.08984375" style="9"/>
    <col min="8464" max="8465" width="24.453125" style="9" customWidth="1"/>
    <col min="8466" max="8704" width="8.08984375" style="9"/>
    <col min="8705" max="8705" width="11.54296875" style="9" customWidth="1"/>
    <col min="8706" max="8706" width="11.6328125" style="9" customWidth="1"/>
    <col min="8707" max="8707" width="24.54296875" style="9" customWidth="1"/>
    <col min="8708" max="8708" width="27.26953125" style="9" customWidth="1"/>
    <col min="8709" max="8709" width="8" style="9" customWidth="1"/>
    <col min="8710" max="8710" width="26.90625" style="9" customWidth="1"/>
    <col min="8711" max="8711" width="45.453125" style="9" customWidth="1"/>
    <col min="8712" max="8712" width="61.26953125" style="9" customWidth="1"/>
    <col min="8713" max="8713" width="41.453125" style="9" customWidth="1"/>
    <col min="8714" max="8714" width="8.90625" style="9" customWidth="1"/>
    <col min="8715" max="8715" width="15.54296875" style="9" customWidth="1"/>
    <col min="8716" max="8716" width="13.54296875" style="9" customWidth="1"/>
    <col min="8717" max="8717" width="32.81640625" style="9" customWidth="1"/>
    <col min="8718" max="8718" width="23.453125" style="9" customWidth="1"/>
    <col min="8719" max="8719" width="8.08984375" style="9"/>
    <col min="8720" max="8721" width="24.453125" style="9" customWidth="1"/>
    <col min="8722" max="8960" width="8.08984375" style="9"/>
    <col min="8961" max="8961" width="11.54296875" style="9" customWidth="1"/>
    <col min="8962" max="8962" width="11.6328125" style="9" customWidth="1"/>
    <col min="8963" max="8963" width="24.54296875" style="9" customWidth="1"/>
    <col min="8964" max="8964" width="27.26953125" style="9" customWidth="1"/>
    <col min="8965" max="8965" width="8" style="9" customWidth="1"/>
    <col min="8966" max="8966" width="26.90625" style="9" customWidth="1"/>
    <col min="8967" max="8967" width="45.453125" style="9" customWidth="1"/>
    <col min="8968" max="8968" width="61.26953125" style="9" customWidth="1"/>
    <col min="8969" max="8969" width="41.453125" style="9" customWidth="1"/>
    <col min="8970" max="8970" width="8.90625" style="9" customWidth="1"/>
    <col min="8971" max="8971" width="15.54296875" style="9" customWidth="1"/>
    <col min="8972" max="8972" width="13.54296875" style="9" customWidth="1"/>
    <col min="8973" max="8973" width="32.81640625" style="9" customWidth="1"/>
    <col min="8974" max="8974" width="23.453125" style="9" customWidth="1"/>
    <col min="8975" max="8975" width="8.08984375" style="9"/>
    <col min="8976" max="8977" width="24.453125" style="9" customWidth="1"/>
    <col min="8978" max="9216" width="8.08984375" style="9"/>
    <col min="9217" max="9217" width="11.54296875" style="9" customWidth="1"/>
    <col min="9218" max="9218" width="11.6328125" style="9" customWidth="1"/>
    <col min="9219" max="9219" width="24.54296875" style="9" customWidth="1"/>
    <col min="9220" max="9220" width="27.26953125" style="9" customWidth="1"/>
    <col min="9221" max="9221" width="8" style="9" customWidth="1"/>
    <col min="9222" max="9222" width="26.90625" style="9" customWidth="1"/>
    <col min="9223" max="9223" width="45.453125" style="9" customWidth="1"/>
    <col min="9224" max="9224" width="61.26953125" style="9" customWidth="1"/>
    <col min="9225" max="9225" width="41.453125" style="9" customWidth="1"/>
    <col min="9226" max="9226" width="8.90625" style="9" customWidth="1"/>
    <col min="9227" max="9227" width="15.54296875" style="9" customWidth="1"/>
    <col min="9228" max="9228" width="13.54296875" style="9" customWidth="1"/>
    <col min="9229" max="9229" width="32.81640625" style="9" customWidth="1"/>
    <col min="9230" max="9230" width="23.453125" style="9" customWidth="1"/>
    <col min="9231" max="9231" width="8.08984375" style="9"/>
    <col min="9232" max="9233" width="24.453125" style="9" customWidth="1"/>
    <col min="9234" max="9472" width="8.08984375" style="9"/>
    <col min="9473" max="9473" width="11.54296875" style="9" customWidth="1"/>
    <col min="9474" max="9474" width="11.6328125" style="9" customWidth="1"/>
    <col min="9475" max="9475" width="24.54296875" style="9" customWidth="1"/>
    <col min="9476" max="9476" width="27.26953125" style="9" customWidth="1"/>
    <col min="9477" max="9477" width="8" style="9" customWidth="1"/>
    <col min="9478" max="9478" width="26.90625" style="9" customWidth="1"/>
    <col min="9479" max="9479" width="45.453125" style="9" customWidth="1"/>
    <col min="9480" max="9480" width="61.26953125" style="9" customWidth="1"/>
    <col min="9481" max="9481" width="41.453125" style="9" customWidth="1"/>
    <col min="9482" max="9482" width="8.90625" style="9" customWidth="1"/>
    <col min="9483" max="9483" width="15.54296875" style="9" customWidth="1"/>
    <col min="9484" max="9484" width="13.54296875" style="9" customWidth="1"/>
    <col min="9485" max="9485" width="32.81640625" style="9" customWidth="1"/>
    <col min="9486" max="9486" width="23.453125" style="9" customWidth="1"/>
    <col min="9487" max="9487" width="8.08984375" style="9"/>
    <col min="9488" max="9489" width="24.453125" style="9" customWidth="1"/>
    <col min="9490" max="9728" width="8.08984375" style="9"/>
    <col min="9729" max="9729" width="11.54296875" style="9" customWidth="1"/>
    <col min="9730" max="9730" width="11.6328125" style="9" customWidth="1"/>
    <col min="9731" max="9731" width="24.54296875" style="9" customWidth="1"/>
    <col min="9732" max="9732" width="27.26953125" style="9" customWidth="1"/>
    <col min="9733" max="9733" width="8" style="9" customWidth="1"/>
    <col min="9734" max="9734" width="26.90625" style="9" customWidth="1"/>
    <col min="9735" max="9735" width="45.453125" style="9" customWidth="1"/>
    <col min="9736" max="9736" width="61.26953125" style="9" customWidth="1"/>
    <col min="9737" max="9737" width="41.453125" style="9" customWidth="1"/>
    <col min="9738" max="9738" width="8.90625" style="9" customWidth="1"/>
    <col min="9739" max="9739" width="15.54296875" style="9" customWidth="1"/>
    <col min="9740" max="9740" width="13.54296875" style="9" customWidth="1"/>
    <col min="9741" max="9741" width="32.81640625" style="9" customWidth="1"/>
    <col min="9742" max="9742" width="23.453125" style="9" customWidth="1"/>
    <col min="9743" max="9743" width="8.08984375" style="9"/>
    <col min="9744" max="9745" width="24.453125" style="9" customWidth="1"/>
    <col min="9746" max="9984" width="8.08984375" style="9"/>
    <col min="9985" max="9985" width="11.54296875" style="9" customWidth="1"/>
    <col min="9986" max="9986" width="11.6328125" style="9" customWidth="1"/>
    <col min="9987" max="9987" width="24.54296875" style="9" customWidth="1"/>
    <col min="9988" max="9988" width="27.26953125" style="9" customWidth="1"/>
    <col min="9989" max="9989" width="8" style="9" customWidth="1"/>
    <col min="9990" max="9990" width="26.90625" style="9" customWidth="1"/>
    <col min="9991" max="9991" width="45.453125" style="9" customWidth="1"/>
    <col min="9992" max="9992" width="61.26953125" style="9" customWidth="1"/>
    <col min="9993" max="9993" width="41.453125" style="9" customWidth="1"/>
    <col min="9994" max="9994" width="8.90625" style="9" customWidth="1"/>
    <col min="9995" max="9995" width="15.54296875" style="9" customWidth="1"/>
    <col min="9996" max="9996" width="13.54296875" style="9" customWidth="1"/>
    <col min="9997" max="9997" width="32.81640625" style="9" customWidth="1"/>
    <col min="9998" max="9998" width="23.453125" style="9" customWidth="1"/>
    <col min="9999" max="9999" width="8.08984375" style="9"/>
    <col min="10000" max="10001" width="24.453125" style="9" customWidth="1"/>
    <col min="10002" max="10240" width="8.08984375" style="9"/>
    <col min="10241" max="10241" width="11.54296875" style="9" customWidth="1"/>
    <col min="10242" max="10242" width="11.6328125" style="9" customWidth="1"/>
    <col min="10243" max="10243" width="24.54296875" style="9" customWidth="1"/>
    <col min="10244" max="10244" width="27.26953125" style="9" customWidth="1"/>
    <col min="10245" max="10245" width="8" style="9" customWidth="1"/>
    <col min="10246" max="10246" width="26.90625" style="9" customWidth="1"/>
    <col min="10247" max="10247" width="45.453125" style="9" customWidth="1"/>
    <col min="10248" max="10248" width="61.26953125" style="9" customWidth="1"/>
    <col min="10249" max="10249" width="41.453125" style="9" customWidth="1"/>
    <col min="10250" max="10250" width="8.90625" style="9" customWidth="1"/>
    <col min="10251" max="10251" width="15.54296875" style="9" customWidth="1"/>
    <col min="10252" max="10252" width="13.54296875" style="9" customWidth="1"/>
    <col min="10253" max="10253" width="32.81640625" style="9" customWidth="1"/>
    <col min="10254" max="10254" width="23.453125" style="9" customWidth="1"/>
    <col min="10255" max="10255" width="8.08984375" style="9"/>
    <col min="10256" max="10257" width="24.453125" style="9" customWidth="1"/>
    <col min="10258" max="10496" width="8.08984375" style="9"/>
    <col min="10497" max="10497" width="11.54296875" style="9" customWidth="1"/>
    <col min="10498" max="10498" width="11.6328125" style="9" customWidth="1"/>
    <col min="10499" max="10499" width="24.54296875" style="9" customWidth="1"/>
    <col min="10500" max="10500" width="27.26953125" style="9" customWidth="1"/>
    <col min="10501" max="10501" width="8" style="9" customWidth="1"/>
    <col min="10502" max="10502" width="26.90625" style="9" customWidth="1"/>
    <col min="10503" max="10503" width="45.453125" style="9" customWidth="1"/>
    <col min="10504" max="10504" width="61.26953125" style="9" customWidth="1"/>
    <col min="10505" max="10505" width="41.453125" style="9" customWidth="1"/>
    <col min="10506" max="10506" width="8.90625" style="9" customWidth="1"/>
    <col min="10507" max="10507" width="15.54296875" style="9" customWidth="1"/>
    <col min="10508" max="10508" width="13.54296875" style="9" customWidth="1"/>
    <col min="10509" max="10509" width="32.81640625" style="9" customWidth="1"/>
    <col min="10510" max="10510" width="23.453125" style="9" customWidth="1"/>
    <col min="10511" max="10511" width="8.08984375" style="9"/>
    <col min="10512" max="10513" width="24.453125" style="9" customWidth="1"/>
    <col min="10514" max="10752" width="8.08984375" style="9"/>
    <col min="10753" max="10753" width="11.54296875" style="9" customWidth="1"/>
    <col min="10754" max="10754" width="11.6328125" style="9" customWidth="1"/>
    <col min="10755" max="10755" width="24.54296875" style="9" customWidth="1"/>
    <col min="10756" max="10756" width="27.26953125" style="9" customWidth="1"/>
    <col min="10757" max="10757" width="8" style="9" customWidth="1"/>
    <col min="10758" max="10758" width="26.90625" style="9" customWidth="1"/>
    <col min="10759" max="10759" width="45.453125" style="9" customWidth="1"/>
    <col min="10760" max="10760" width="61.26953125" style="9" customWidth="1"/>
    <col min="10761" max="10761" width="41.453125" style="9" customWidth="1"/>
    <col min="10762" max="10762" width="8.90625" style="9" customWidth="1"/>
    <col min="10763" max="10763" width="15.54296875" style="9" customWidth="1"/>
    <col min="10764" max="10764" width="13.54296875" style="9" customWidth="1"/>
    <col min="10765" max="10765" width="32.81640625" style="9" customWidth="1"/>
    <col min="10766" max="10766" width="23.453125" style="9" customWidth="1"/>
    <col min="10767" max="10767" width="8.08984375" style="9"/>
    <col min="10768" max="10769" width="24.453125" style="9" customWidth="1"/>
    <col min="10770" max="11008" width="8.08984375" style="9"/>
    <col min="11009" max="11009" width="11.54296875" style="9" customWidth="1"/>
    <col min="11010" max="11010" width="11.6328125" style="9" customWidth="1"/>
    <col min="11011" max="11011" width="24.54296875" style="9" customWidth="1"/>
    <col min="11012" max="11012" width="27.26953125" style="9" customWidth="1"/>
    <col min="11013" max="11013" width="8" style="9" customWidth="1"/>
    <col min="11014" max="11014" width="26.90625" style="9" customWidth="1"/>
    <col min="11015" max="11015" width="45.453125" style="9" customWidth="1"/>
    <col min="11016" max="11016" width="61.26953125" style="9" customWidth="1"/>
    <col min="11017" max="11017" width="41.453125" style="9" customWidth="1"/>
    <col min="11018" max="11018" width="8.90625" style="9" customWidth="1"/>
    <col min="11019" max="11019" width="15.54296875" style="9" customWidth="1"/>
    <col min="11020" max="11020" width="13.54296875" style="9" customWidth="1"/>
    <col min="11021" max="11021" width="32.81640625" style="9" customWidth="1"/>
    <col min="11022" max="11022" width="23.453125" style="9" customWidth="1"/>
    <col min="11023" max="11023" width="8.08984375" style="9"/>
    <col min="11024" max="11025" width="24.453125" style="9" customWidth="1"/>
    <col min="11026" max="11264" width="8.08984375" style="9"/>
    <col min="11265" max="11265" width="11.54296875" style="9" customWidth="1"/>
    <col min="11266" max="11266" width="11.6328125" style="9" customWidth="1"/>
    <col min="11267" max="11267" width="24.54296875" style="9" customWidth="1"/>
    <col min="11268" max="11268" width="27.26953125" style="9" customWidth="1"/>
    <col min="11269" max="11269" width="8" style="9" customWidth="1"/>
    <col min="11270" max="11270" width="26.90625" style="9" customWidth="1"/>
    <col min="11271" max="11271" width="45.453125" style="9" customWidth="1"/>
    <col min="11272" max="11272" width="61.26953125" style="9" customWidth="1"/>
    <col min="11273" max="11273" width="41.453125" style="9" customWidth="1"/>
    <col min="11274" max="11274" width="8.90625" style="9" customWidth="1"/>
    <col min="11275" max="11275" width="15.54296875" style="9" customWidth="1"/>
    <col min="11276" max="11276" width="13.54296875" style="9" customWidth="1"/>
    <col min="11277" max="11277" width="32.81640625" style="9" customWidth="1"/>
    <col min="11278" max="11278" width="23.453125" style="9" customWidth="1"/>
    <col min="11279" max="11279" width="8.08984375" style="9"/>
    <col min="11280" max="11281" width="24.453125" style="9" customWidth="1"/>
    <col min="11282" max="11520" width="8.08984375" style="9"/>
    <col min="11521" max="11521" width="11.54296875" style="9" customWidth="1"/>
    <col min="11522" max="11522" width="11.6328125" style="9" customWidth="1"/>
    <col min="11523" max="11523" width="24.54296875" style="9" customWidth="1"/>
    <col min="11524" max="11524" width="27.26953125" style="9" customWidth="1"/>
    <col min="11525" max="11525" width="8" style="9" customWidth="1"/>
    <col min="11526" max="11526" width="26.90625" style="9" customWidth="1"/>
    <col min="11527" max="11527" width="45.453125" style="9" customWidth="1"/>
    <col min="11528" max="11528" width="61.26953125" style="9" customWidth="1"/>
    <col min="11529" max="11529" width="41.453125" style="9" customWidth="1"/>
    <col min="11530" max="11530" width="8.90625" style="9" customWidth="1"/>
    <col min="11531" max="11531" width="15.54296875" style="9" customWidth="1"/>
    <col min="11532" max="11532" width="13.54296875" style="9" customWidth="1"/>
    <col min="11533" max="11533" width="32.81640625" style="9" customWidth="1"/>
    <col min="11534" max="11534" width="23.453125" style="9" customWidth="1"/>
    <col min="11535" max="11535" width="8.08984375" style="9"/>
    <col min="11536" max="11537" width="24.453125" style="9" customWidth="1"/>
    <col min="11538" max="11776" width="8.08984375" style="9"/>
    <col min="11777" max="11777" width="11.54296875" style="9" customWidth="1"/>
    <col min="11778" max="11778" width="11.6328125" style="9" customWidth="1"/>
    <col min="11779" max="11779" width="24.54296875" style="9" customWidth="1"/>
    <col min="11780" max="11780" width="27.26953125" style="9" customWidth="1"/>
    <col min="11781" max="11781" width="8" style="9" customWidth="1"/>
    <col min="11782" max="11782" width="26.90625" style="9" customWidth="1"/>
    <col min="11783" max="11783" width="45.453125" style="9" customWidth="1"/>
    <col min="11784" max="11784" width="61.26953125" style="9" customWidth="1"/>
    <col min="11785" max="11785" width="41.453125" style="9" customWidth="1"/>
    <col min="11786" max="11786" width="8.90625" style="9" customWidth="1"/>
    <col min="11787" max="11787" width="15.54296875" style="9" customWidth="1"/>
    <col min="11788" max="11788" width="13.54296875" style="9" customWidth="1"/>
    <col min="11789" max="11789" width="32.81640625" style="9" customWidth="1"/>
    <col min="11790" max="11790" width="23.453125" style="9" customWidth="1"/>
    <col min="11791" max="11791" width="8.08984375" style="9"/>
    <col min="11792" max="11793" width="24.453125" style="9" customWidth="1"/>
    <col min="11794" max="12032" width="8.08984375" style="9"/>
    <col min="12033" max="12033" width="11.54296875" style="9" customWidth="1"/>
    <col min="12034" max="12034" width="11.6328125" style="9" customWidth="1"/>
    <col min="12035" max="12035" width="24.54296875" style="9" customWidth="1"/>
    <col min="12036" max="12036" width="27.26953125" style="9" customWidth="1"/>
    <col min="12037" max="12037" width="8" style="9" customWidth="1"/>
    <col min="12038" max="12038" width="26.90625" style="9" customWidth="1"/>
    <col min="12039" max="12039" width="45.453125" style="9" customWidth="1"/>
    <col min="12040" max="12040" width="61.26953125" style="9" customWidth="1"/>
    <col min="12041" max="12041" width="41.453125" style="9" customWidth="1"/>
    <col min="12042" max="12042" width="8.90625" style="9" customWidth="1"/>
    <col min="12043" max="12043" width="15.54296875" style="9" customWidth="1"/>
    <col min="12044" max="12044" width="13.54296875" style="9" customWidth="1"/>
    <col min="12045" max="12045" width="32.81640625" style="9" customWidth="1"/>
    <col min="12046" max="12046" width="23.453125" style="9" customWidth="1"/>
    <col min="12047" max="12047" width="8.08984375" style="9"/>
    <col min="12048" max="12049" width="24.453125" style="9" customWidth="1"/>
    <col min="12050" max="12288" width="8.08984375" style="9"/>
    <col min="12289" max="12289" width="11.54296875" style="9" customWidth="1"/>
    <col min="12290" max="12290" width="11.6328125" style="9" customWidth="1"/>
    <col min="12291" max="12291" width="24.54296875" style="9" customWidth="1"/>
    <col min="12292" max="12292" width="27.26953125" style="9" customWidth="1"/>
    <col min="12293" max="12293" width="8" style="9" customWidth="1"/>
    <col min="12294" max="12294" width="26.90625" style="9" customWidth="1"/>
    <col min="12295" max="12295" width="45.453125" style="9" customWidth="1"/>
    <col min="12296" max="12296" width="61.26953125" style="9" customWidth="1"/>
    <col min="12297" max="12297" width="41.453125" style="9" customWidth="1"/>
    <col min="12298" max="12298" width="8.90625" style="9" customWidth="1"/>
    <col min="12299" max="12299" width="15.54296875" style="9" customWidth="1"/>
    <col min="12300" max="12300" width="13.54296875" style="9" customWidth="1"/>
    <col min="12301" max="12301" width="32.81640625" style="9" customWidth="1"/>
    <col min="12302" max="12302" width="23.453125" style="9" customWidth="1"/>
    <col min="12303" max="12303" width="8.08984375" style="9"/>
    <col min="12304" max="12305" width="24.453125" style="9" customWidth="1"/>
    <col min="12306" max="12544" width="8.08984375" style="9"/>
    <col min="12545" max="12545" width="11.54296875" style="9" customWidth="1"/>
    <col min="12546" max="12546" width="11.6328125" style="9" customWidth="1"/>
    <col min="12547" max="12547" width="24.54296875" style="9" customWidth="1"/>
    <col min="12548" max="12548" width="27.26953125" style="9" customWidth="1"/>
    <col min="12549" max="12549" width="8" style="9" customWidth="1"/>
    <col min="12550" max="12550" width="26.90625" style="9" customWidth="1"/>
    <col min="12551" max="12551" width="45.453125" style="9" customWidth="1"/>
    <col min="12552" max="12552" width="61.26953125" style="9" customWidth="1"/>
    <col min="12553" max="12553" width="41.453125" style="9" customWidth="1"/>
    <col min="12554" max="12554" width="8.90625" style="9" customWidth="1"/>
    <col min="12555" max="12555" width="15.54296875" style="9" customWidth="1"/>
    <col min="12556" max="12556" width="13.54296875" style="9" customWidth="1"/>
    <col min="12557" max="12557" width="32.81640625" style="9" customWidth="1"/>
    <col min="12558" max="12558" width="23.453125" style="9" customWidth="1"/>
    <col min="12559" max="12559" width="8.08984375" style="9"/>
    <col min="12560" max="12561" width="24.453125" style="9" customWidth="1"/>
    <col min="12562" max="12800" width="8.08984375" style="9"/>
    <col min="12801" max="12801" width="11.54296875" style="9" customWidth="1"/>
    <col min="12802" max="12802" width="11.6328125" style="9" customWidth="1"/>
    <col min="12803" max="12803" width="24.54296875" style="9" customWidth="1"/>
    <col min="12804" max="12804" width="27.26953125" style="9" customWidth="1"/>
    <col min="12805" max="12805" width="8" style="9" customWidth="1"/>
    <col min="12806" max="12806" width="26.90625" style="9" customWidth="1"/>
    <col min="12807" max="12807" width="45.453125" style="9" customWidth="1"/>
    <col min="12808" max="12808" width="61.26953125" style="9" customWidth="1"/>
    <col min="12809" max="12809" width="41.453125" style="9" customWidth="1"/>
    <col min="12810" max="12810" width="8.90625" style="9" customWidth="1"/>
    <col min="12811" max="12811" width="15.54296875" style="9" customWidth="1"/>
    <col min="12812" max="12812" width="13.54296875" style="9" customWidth="1"/>
    <col min="12813" max="12813" width="32.81640625" style="9" customWidth="1"/>
    <col min="12814" max="12814" width="23.453125" style="9" customWidth="1"/>
    <col min="12815" max="12815" width="8.08984375" style="9"/>
    <col min="12816" max="12817" width="24.453125" style="9" customWidth="1"/>
    <col min="12818" max="13056" width="8.08984375" style="9"/>
    <col min="13057" max="13057" width="11.54296875" style="9" customWidth="1"/>
    <col min="13058" max="13058" width="11.6328125" style="9" customWidth="1"/>
    <col min="13059" max="13059" width="24.54296875" style="9" customWidth="1"/>
    <col min="13060" max="13060" width="27.26953125" style="9" customWidth="1"/>
    <col min="13061" max="13061" width="8" style="9" customWidth="1"/>
    <col min="13062" max="13062" width="26.90625" style="9" customWidth="1"/>
    <col min="13063" max="13063" width="45.453125" style="9" customWidth="1"/>
    <col min="13064" max="13064" width="61.26953125" style="9" customWidth="1"/>
    <col min="13065" max="13065" width="41.453125" style="9" customWidth="1"/>
    <col min="13066" max="13066" width="8.90625" style="9" customWidth="1"/>
    <col min="13067" max="13067" width="15.54296875" style="9" customWidth="1"/>
    <col min="13068" max="13068" width="13.54296875" style="9" customWidth="1"/>
    <col min="13069" max="13069" width="32.81640625" style="9" customWidth="1"/>
    <col min="13070" max="13070" width="23.453125" style="9" customWidth="1"/>
    <col min="13071" max="13071" width="8.08984375" style="9"/>
    <col min="13072" max="13073" width="24.453125" style="9" customWidth="1"/>
    <col min="13074" max="13312" width="8.08984375" style="9"/>
    <col min="13313" max="13313" width="11.54296875" style="9" customWidth="1"/>
    <col min="13314" max="13314" width="11.6328125" style="9" customWidth="1"/>
    <col min="13315" max="13315" width="24.54296875" style="9" customWidth="1"/>
    <col min="13316" max="13316" width="27.26953125" style="9" customWidth="1"/>
    <col min="13317" max="13317" width="8" style="9" customWidth="1"/>
    <col min="13318" max="13318" width="26.90625" style="9" customWidth="1"/>
    <col min="13319" max="13319" width="45.453125" style="9" customWidth="1"/>
    <col min="13320" max="13320" width="61.26953125" style="9" customWidth="1"/>
    <col min="13321" max="13321" width="41.453125" style="9" customWidth="1"/>
    <col min="13322" max="13322" width="8.90625" style="9" customWidth="1"/>
    <col min="13323" max="13323" width="15.54296875" style="9" customWidth="1"/>
    <col min="13324" max="13324" width="13.54296875" style="9" customWidth="1"/>
    <col min="13325" max="13325" width="32.81640625" style="9" customWidth="1"/>
    <col min="13326" max="13326" width="23.453125" style="9" customWidth="1"/>
    <col min="13327" max="13327" width="8.08984375" style="9"/>
    <col min="13328" max="13329" width="24.453125" style="9" customWidth="1"/>
    <col min="13330" max="13568" width="8.08984375" style="9"/>
    <col min="13569" max="13569" width="11.54296875" style="9" customWidth="1"/>
    <col min="13570" max="13570" width="11.6328125" style="9" customWidth="1"/>
    <col min="13571" max="13571" width="24.54296875" style="9" customWidth="1"/>
    <col min="13572" max="13572" width="27.26953125" style="9" customWidth="1"/>
    <col min="13573" max="13573" width="8" style="9" customWidth="1"/>
    <col min="13574" max="13574" width="26.90625" style="9" customWidth="1"/>
    <col min="13575" max="13575" width="45.453125" style="9" customWidth="1"/>
    <col min="13576" max="13576" width="61.26953125" style="9" customWidth="1"/>
    <col min="13577" max="13577" width="41.453125" style="9" customWidth="1"/>
    <col min="13578" max="13578" width="8.90625" style="9" customWidth="1"/>
    <col min="13579" max="13579" width="15.54296875" style="9" customWidth="1"/>
    <col min="13580" max="13580" width="13.54296875" style="9" customWidth="1"/>
    <col min="13581" max="13581" width="32.81640625" style="9" customWidth="1"/>
    <col min="13582" max="13582" width="23.453125" style="9" customWidth="1"/>
    <col min="13583" max="13583" width="8.08984375" style="9"/>
    <col min="13584" max="13585" width="24.453125" style="9" customWidth="1"/>
    <col min="13586" max="13824" width="8.08984375" style="9"/>
    <col min="13825" max="13825" width="11.54296875" style="9" customWidth="1"/>
    <col min="13826" max="13826" width="11.6328125" style="9" customWidth="1"/>
    <col min="13827" max="13827" width="24.54296875" style="9" customWidth="1"/>
    <col min="13828" max="13828" width="27.26953125" style="9" customWidth="1"/>
    <col min="13829" max="13829" width="8" style="9" customWidth="1"/>
    <col min="13830" max="13830" width="26.90625" style="9" customWidth="1"/>
    <col min="13831" max="13831" width="45.453125" style="9" customWidth="1"/>
    <col min="13832" max="13832" width="61.26953125" style="9" customWidth="1"/>
    <col min="13833" max="13833" width="41.453125" style="9" customWidth="1"/>
    <col min="13834" max="13834" width="8.90625" style="9" customWidth="1"/>
    <col min="13835" max="13835" width="15.54296875" style="9" customWidth="1"/>
    <col min="13836" max="13836" width="13.54296875" style="9" customWidth="1"/>
    <col min="13837" max="13837" width="32.81640625" style="9" customWidth="1"/>
    <col min="13838" max="13838" width="23.453125" style="9" customWidth="1"/>
    <col min="13839" max="13839" width="8.08984375" style="9"/>
    <col min="13840" max="13841" width="24.453125" style="9" customWidth="1"/>
    <col min="13842" max="14080" width="8.08984375" style="9"/>
    <col min="14081" max="14081" width="11.54296875" style="9" customWidth="1"/>
    <col min="14082" max="14082" width="11.6328125" style="9" customWidth="1"/>
    <col min="14083" max="14083" width="24.54296875" style="9" customWidth="1"/>
    <col min="14084" max="14084" width="27.26953125" style="9" customWidth="1"/>
    <col min="14085" max="14085" width="8" style="9" customWidth="1"/>
    <col min="14086" max="14086" width="26.90625" style="9" customWidth="1"/>
    <col min="14087" max="14087" width="45.453125" style="9" customWidth="1"/>
    <col min="14088" max="14088" width="61.26953125" style="9" customWidth="1"/>
    <col min="14089" max="14089" width="41.453125" style="9" customWidth="1"/>
    <col min="14090" max="14090" width="8.90625" style="9" customWidth="1"/>
    <col min="14091" max="14091" width="15.54296875" style="9" customWidth="1"/>
    <col min="14092" max="14092" width="13.54296875" style="9" customWidth="1"/>
    <col min="14093" max="14093" width="32.81640625" style="9" customWidth="1"/>
    <col min="14094" max="14094" width="23.453125" style="9" customWidth="1"/>
    <col min="14095" max="14095" width="8.08984375" style="9"/>
    <col min="14096" max="14097" width="24.453125" style="9" customWidth="1"/>
    <col min="14098" max="14336" width="8.08984375" style="9"/>
    <col min="14337" max="14337" width="11.54296875" style="9" customWidth="1"/>
    <col min="14338" max="14338" width="11.6328125" style="9" customWidth="1"/>
    <col min="14339" max="14339" width="24.54296875" style="9" customWidth="1"/>
    <col min="14340" max="14340" width="27.26953125" style="9" customWidth="1"/>
    <col min="14341" max="14341" width="8" style="9" customWidth="1"/>
    <col min="14342" max="14342" width="26.90625" style="9" customWidth="1"/>
    <col min="14343" max="14343" width="45.453125" style="9" customWidth="1"/>
    <col min="14344" max="14344" width="61.26953125" style="9" customWidth="1"/>
    <col min="14345" max="14345" width="41.453125" style="9" customWidth="1"/>
    <col min="14346" max="14346" width="8.90625" style="9" customWidth="1"/>
    <col min="14347" max="14347" width="15.54296875" style="9" customWidth="1"/>
    <col min="14348" max="14348" width="13.54296875" style="9" customWidth="1"/>
    <col min="14349" max="14349" width="32.81640625" style="9" customWidth="1"/>
    <col min="14350" max="14350" width="23.453125" style="9" customWidth="1"/>
    <col min="14351" max="14351" width="8.08984375" style="9"/>
    <col min="14352" max="14353" width="24.453125" style="9" customWidth="1"/>
    <col min="14354" max="14592" width="8.08984375" style="9"/>
    <col min="14593" max="14593" width="11.54296875" style="9" customWidth="1"/>
    <col min="14594" max="14594" width="11.6328125" style="9" customWidth="1"/>
    <col min="14595" max="14595" width="24.54296875" style="9" customWidth="1"/>
    <col min="14596" max="14596" width="27.26953125" style="9" customWidth="1"/>
    <col min="14597" max="14597" width="8" style="9" customWidth="1"/>
    <col min="14598" max="14598" width="26.90625" style="9" customWidth="1"/>
    <col min="14599" max="14599" width="45.453125" style="9" customWidth="1"/>
    <col min="14600" max="14600" width="61.26953125" style="9" customWidth="1"/>
    <col min="14601" max="14601" width="41.453125" style="9" customWidth="1"/>
    <col min="14602" max="14602" width="8.90625" style="9" customWidth="1"/>
    <col min="14603" max="14603" width="15.54296875" style="9" customWidth="1"/>
    <col min="14604" max="14604" width="13.54296875" style="9" customWidth="1"/>
    <col min="14605" max="14605" width="32.81640625" style="9" customWidth="1"/>
    <col min="14606" max="14606" width="23.453125" style="9" customWidth="1"/>
    <col min="14607" max="14607" width="8.08984375" style="9"/>
    <col min="14608" max="14609" width="24.453125" style="9" customWidth="1"/>
    <col min="14610" max="14848" width="8.08984375" style="9"/>
    <col min="14849" max="14849" width="11.54296875" style="9" customWidth="1"/>
    <col min="14850" max="14850" width="11.6328125" style="9" customWidth="1"/>
    <col min="14851" max="14851" width="24.54296875" style="9" customWidth="1"/>
    <col min="14852" max="14852" width="27.26953125" style="9" customWidth="1"/>
    <col min="14853" max="14853" width="8" style="9" customWidth="1"/>
    <col min="14854" max="14854" width="26.90625" style="9" customWidth="1"/>
    <col min="14855" max="14855" width="45.453125" style="9" customWidth="1"/>
    <col min="14856" max="14856" width="61.26953125" style="9" customWidth="1"/>
    <col min="14857" max="14857" width="41.453125" style="9" customWidth="1"/>
    <col min="14858" max="14858" width="8.90625" style="9" customWidth="1"/>
    <col min="14859" max="14859" width="15.54296875" style="9" customWidth="1"/>
    <col min="14860" max="14860" width="13.54296875" style="9" customWidth="1"/>
    <col min="14861" max="14861" width="32.81640625" style="9" customWidth="1"/>
    <col min="14862" max="14862" width="23.453125" style="9" customWidth="1"/>
    <col min="14863" max="14863" width="8.08984375" style="9"/>
    <col min="14864" max="14865" width="24.453125" style="9" customWidth="1"/>
    <col min="14866" max="15104" width="8.08984375" style="9"/>
    <col min="15105" max="15105" width="11.54296875" style="9" customWidth="1"/>
    <col min="15106" max="15106" width="11.6328125" style="9" customWidth="1"/>
    <col min="15107" max="15107" width="24.54296875" style="9" customWidth="1"/>
    <col min="15108" max="15108" width="27.26953125" style="9" customWidth="1"/>
    <col min="15109" max="15109" width="8" style="9" customWidth="1"/>
    <col min="15110" max="15110" width="26.90625" style="9" customWidth="1"/>
    <col min="15111" max="15111" width="45.453125" style="9" customWidth="1"/>
    <col min="15112" max="15112" width="61.26953125" style="9" customWidth="1"/>
    <col min="15113" max="15113" width="41.453125" style="9" customWidth="1"/>
    <col min="15114" max="15114" width="8.90625" style="9" customWidth="1"/>
    <col min="15115" max="15115" width="15.54296875" style="9" customWidth="1"/>
    <col min="15116" max="15116" width="13.54296875" style="9" customWidth="1"/>
    <col min="15117" max="15117" width="32.81640625" style="9" customWidth="1"/>
    <col min="15118" max="15118" width="23.453125" style="9" customWidth="1"/>
    <col min="15119" max="15119" width="8.08984375" style="9"/>
    <col min="15120" max="15121" width="24.453125" style="9" customWidth="1"/>
    <col min="15122" max="15360" width="8.08984375" style="9"/>
    <col min="15361" max="15361" width="11.54296875" style="9" customWidth="1"/>
    <col min="15362" max="15362" width="11.6328125" style="9" customWidth="1"/>
    <col min="15363" max="15363" width="24.54296875" style="9" customWidth="1"/>
    <col min="15364" max="15364" width="27.26953125" style="9" customWidth="1"/>
    <col min="15365" max="15365" width="8" style="9" customWidth="1"/>
    <col min="15366" max="15366" width="26.90625" style="9" customWidth="1"/>
    <col min="15367" max="15367" width="45.453125" style="9" customWidth="1"/>
    <col min="15368" max="15368" width="61.26953125" style="9" customWidth="1"/>
    <col min="15369" max="15369" width="41.453125" style="9" customWidth="1"/>
    <col min="15370" max="15370" width="8.90625" style="9" customWidth="1"/>
    <col min="15371" max="15371" width="15.54296875" style="9" customWidth="1"/>
    <col min="15372" max="15372" width="13.54296875" style="9" customWidth="1"/>
    <col min="15373" max="15373" width="32.81640625" style="9" customWidth="1"/>
    <col min="15374" max="15374" width="23.453125" style="9" customWidth="1"/>
    <col min="15375" max="15375" width="8.08984375" style="9"/>
    <col min="15376" max="15377" width="24.453125" style="9" customWidth="1"/>
    <col min="15378" max="15616" width="8.08984375" style="9"/>
    <col min="15617" max="15617" width="11.54296875" style="9" customWidth="1"/>
    <col min="15618" max="15618" width="11.6328125" style="9" customWidth="1"/>
    <col min="15619" max="15619" width="24.54296875" style="9" customWidth="1"/>
    <col min="15620" max="15620" width="27.26953125" style="9" customWidth="1"/>
    <col min="15621" max="15621" width="8" style="9" customWidth="1"/>
    <col min="15622" max="15622" width="26.90625" style="9" customWidth="1"/>
    <col min="15623" max="15623" width="45.453125" style="9" customWidth="1"/>
    <col min="15624" max="15624" width="61.26953125" style="9" customWidth="1"/>
    <col min="15625" max="15625" width="41.453125" style="9" customWidth="1"/>
    <col min="15626" max="15626" width="8.90625" style="9" customWidth="1"/>
    <col min="15627" max="15627" width="15.54296875" style="9" customWidth="1"/>
    <col min="15628" max="15628" width="13.54296875" style="9" customWidth="1"/>
    <col min="15629" max="15629" width="32.81640625" style="9" customWidth="1"/>
    <col min="15630" max="15630" width="23.453125" style="9" customWidth="1"/>
    <col min="15631" max="15631" width="8.08984375" style="9"/>
    <col min="15632" max="15633" width="24.453125" style="9" customWidth="1"/>
    <col min="15634" max="15872" width="8.08984375" style="9"/>
    <col min="15873" max="15873" width="11.54296875" style="9" customWidth="1"/>
    <col min="15874" max="15874" width="11.6328125" style="9" customWidth="1"/>
    <col min="15875" max="15875" width="24.54296875" style="9" customWidth="1"/>
    <col min="15876" max="15876" width="27.26953125" style="9" customWidth="1"/>
    <col min="15877" max="15877" width="8" style="9" customWidth="1"/>
    <col min="15878" max="15878" width="26.90625" style="9" customWidth="1"/>
    <col min="15879" max="15879" width="45.453125" style="9" customWidth="1"/>
    <col min="15880" max="15880" width="61.26953125" style="9" customWidth="1"/>
    <col min="15881" max="15881" width="41.453125" style="9" customWidth="1"/>
    <col min="15882" max="15882" width="8.90625" style="9" customWidth="1"/>
    <col min="15883" max="15883" width="15.54296875" style="9" customWidth="1"/>
    <col min="15884" max="15884" width="13.54296875" style="9" customWidth="1"/>
    <col min="15885" max="15885" width="32.81640625" style="9" customWidth="1"/>
    <col min="15886" max="15886" width="23.453125" style="9" customWidth="1"/>
    <col min="15887" max="15887" width="8.08984375" style="9"/>
    <col min="15888" max="15889" width="24.453125" style="9" customWidth="1"/>
    <col min="15890" max="16128" width="8.08984375" style="9"/>
    <col min="16129" max="16129" width="11.54296875" style="9" customWidth="1"/>
    <col min="16130" max="16130" width="11.6328125" style="9" customWidth="1"/>
    <col min="16131" max="16131" width="24.54296875" style="9" customWidth="1"/>
    <col min="16132" max="16132" width="27.26953125" style="9" customWidth="1"/>
    <col min="16133" max="16133" width="8" style="9" customWidth="1"/>
    <col min="16134" max="16134" width="26.90625" style="9" customWidth="1"/>
    <col min="16135" max="16135" width="45.453125" style="9" customWidth="1"/>
    <col min="16136" max="16136" width="61.26953125" style="9" customWidth="1"/>
    <col min="16137" max="16137" width="41.453125" style="9" customWidth="1"/>
    <col min="16138" max="16138" width="8.90625" style="9" customWidth="1"/>
    <col min="16139" max="16139" width="15.54296875" style="9" customWidth="1"/>
    <col min="16140" max="16140" width="13.54296875" style="9" customWidth="1"/>
    <col min="16141" max="16141" width="32.81640625" style="9" customWidth="1"/>
    <col min="16142" max="16142" width="23.453125" style="9" customWidth="1"/>
    <col min="16143" max="16143" width="8.08984375" style="9"/>
    <col min="16144" max="16145" width="24.453125" style="9" customWidth="1"/>
    <col min="16146" max="16384" width="8.08984375" style="9"/>
  </cols>
  <sheetData>
    <row r="1" spans="1:17" ht="31.5" customHeight="1">
      <c r="A1" s="1" t="s">
        <v>0</v>
      </c>
      <c r="B1" s="2"/>
      <c r="C1" s="2"/>
      <c r="D1" s="3"/>
      <c r="E1" s="3"/>
      <c r="F1" s="4"/>
      <c r="G1" s="5" t="s">
        <v>1</v>
      </c>
      <c r="H1" s="6">
        <v>46055</v>
      </c>
      <c r="I1" s="7"/>
      <c r="L1" s="7"/>
      <c r="M1" s="7"/>
      <c r="N1" s="8"/>
    </row>
    <row r="2" spans="1:17" ht="15" customHeight="1">
      <c r="A2" s="10"/>
      <c r="B2" s="7"/>
      <c r="C2" s="7"/>
      <c r="D2" s="7"/>
      <c r="E2" s="7"/>
      <c r="F2" s="4"/>
      <c r="G2" s="11"/>
      <c r="H2" s="12"/>
      <c r="I2" s="7"/>
      <c r="L2" s="7"/>
      <c r="M2" s="7"/>
      <c r="N2" s="8"/>
    </row>
    <row r="3" spans="1:17" ht="24.75" customHeight="1">
      <c r="A3" s="13" t="s">
        <v>2</v>
      </c>
      <c r="B3" s="14"/>
      <c r="C3" s="15" t="s">
        <v>3</v>
      </c>
      <c r="D3" s="16"/>
      <c r="E3" s="16"/>
      <c r="F3" s="16"/>
      <c r="G3" s="16"/>
      <c r="H3" s="17"/>
      <c r="I3" s="7"/>
      <c r="K3" s="18"/>
      <c r="L3" s="19"/>
      <c r="M3" s="18"/>
      <c r="N3" s="20"/>
    </row>
    <row r="4" spans="1:17" ht="60" customHeight="1">
      <c r="A4" s="13" t="s">
        <v>4</v>
      </c>
      <c r="B4" s="14"/>
      <c r="C4" s="21" t="s">
        <v>116</v>
      </c>
      <c r="D4" s="22"/>
      <c r="E4" s="22"/>
      <c r="F4" s="22"/>
      <c r="G4" s="22"/>
      <c r="H4" s="23"/>
      <c r="I4" s="7"/>
      <c r="K4" s="24"/>
      <c r="L4" s="19"/>
      <c r="M4" s="25"/>
      <c r="N4" s="20"/>
    </row>
    <row r="5" spans="1:17" ht="46">
      <c r="A5" s="13" t="s">
        <v>5</v>
      </c>
      <c r="B5" s="26"/>
      <c r="C5" s="27"/>
      <c r="D5" s="28"/>
      <c r="E5" s="28"/>
      <c r="F5" s="29" t="s">
        <v>6</v>
      </c>
      <c r="G5" s="30"/>
      <c r="H5" s="17"/>
      <c r="I5" s="7"/>
      <c r="K5" s="24"/>
      <c r="L5" s="19"/>
      <c r="M5" s="25"/>
      <c r="N5" s="20"/>
    </row>
    <row r="6" spans="1:17" ht="43.5" customHeight="1">
      <c r="A6" s="13" t="s">
        <v>7</v>
      </c>
      <c r="B6" s="31"/>
      <c r="C6" s="32">
        <v>12000</v>
      </c>
      <c r="D6" s="28"/>
      <c r="E6" s="28"/>
      <c r="F6" s="29"/>
      <c r="G6" s="33"/>
      <c r="H6" s="17"/>
      <c r="I6" s="7"/>
      <c r="K6" s="24"/>
      <c r="L6" s="19"/>
      <c r="M6" s="25"/>
      <c r="N6" s="20"/>
    </row>
    <row r="7" spans="1:17" ht="60" customHeight="1">
      <c r="A7" s="13" t="s">
        <v>8</v>
      </c>
      <c r="B7" s="34"/>
      <c r="C7" s="35"/>
      <c r="D7" s="36"/>
      <c r="E7" s="36"/>
      <c r="F7" s="36"/>
      <c r="G7" s="36"/>
      <c r="H7" s="37" t="s">
        <v>9</v>
      </c>
      <c r="I7" s="7"/>
      <c r="K7" s="38" t="s">
        <v>10</v>
      </c>
      <c r="L7" s="39" t="s">
        <v>11</v>
      </c>
      <c r="M7" s="39"/>
      <c r="N7" s="39"/>
    </row>
    <row r="8" spans="1:17" ht="28.5" customHeight="1">
      <c r="A8" s="13" t="s">
        <v>12</v>
      </c>
      <c r="B8" s="26"/>
      <c r="C8" s="40" t="s">
        <v>13</v>
      </c>
      <c r="D8" s="41"/>
      <c r="E8" s="41"/>
      <c r="F8" s="41"/>
      <c r="G8" s="41"/>
      <c r="H8" s="17"/>
      <c r="I8" s="7"/>
      <c r="K8" s="18"/>
      <c r="L8" s="18"/>
      <c r="M8" s="18"/>
      <c r="N8" s="20"/>
    </row>
    <row r="9" spans="1:17" ht="15" customHeight="1" thickBot="1">
      <c r="A9" s="10"/>
      <c r="B9" s="18"/>
      <c r="C9" s="18"/>
      <c r="D9" s="42"/>
      <c r="E9" s="42"/>
      <c r="F9" s="43"/>
      <c r="G9" s="5"/>
      <c r="H9" s="17"/>
      <c r="I9" s="7"/>
      <c r="K9" s="24"/>
      <c r="L9" s="18"/>
      <c r="M9" s="25"/>
      <c r="N9" s="20"/>
    </row>
    <row r="10" spans="1:17" ht="18.5" thickBot="1">
      <c r="A10" s="44"/>
      <c r="B10" s="44"/>
      <c r="C10" s="44"/>
      <c r="D10" s="45"/>
      <c r="E10" s="45"/>
      <c r="F10" s="46"/>
      <c r="G10" s="45"/>
      <c r="H10" s="47"/>
      <c r="I10" s="48"/>
      <c r="J10" s="49"/>
      <c r="K10" s="50" t="s">
        <v>14</v>
      </c>
      <c r="L10" s="51"/>
      <c r="M10" s="52"/>
      <c r="N10" s="53"/>
    </row>
    <row r="11" spans="1:17" ht="81" customHeight="1">
      <c r="A11" s="54" t="s">
        <v>15</v>
      </c>
      <c r="B11" s="54" t="s">
        <v>16</v>
      </c>
      <c r="C11" s="54" t="s">
        <v>17</v>
      </c>
      <c r="D11" s="54" t="s">
        <v>18</v>
      </c>
      <c r="E11" s="54" t="s">
        <v>19</v>
      </c>
      <c r="F11" s="54" t="s">
        <v>20</v>
      </c>
      <c r="G11" s="55" t="s">
        <v>21</v>
      </c>
      <c r="H11" s="54" t="s">
        <v>22</v>
      </c>
      <c r="I11" s="54" t="s">
        <v>23</v>
      </c>
      <c r="J11" s="56" t="s">
        <v>24</v>
      </c>
      <c r="K11" s="57" t="s">
        <v>25</v>
      </c>
      <c r="L11" s="58" t="s">
        <v>26</v>
      </c>
      <c r="M11" s="59" t="s">
        <v>27</v>
      </c>
      <c r="N11" s="60" t="s">
        <v>28</v>
      </c>
      <c r="P11" s="61" t="s">
        <v>29</v>
      </c>
      <c r="Q11" s="62" t="s">
        <v>30</v>
      </c>
    </row>
    <row r="12" spans="1:17" ht="80.150000000000006" customHeight="1">
      <c r="A12" s="63">
        <v>1</v>
      </c>
      <c r="B12" s="64">
        <v>1</v>
      </c>
      <c r="C12" s="65">
        <f>$C$6*B12</f>
        <v>12000</v>
      </c>
      <c r="D12" s="66"/>
      <c r="E12" s="66"/>
      <c r="F12" s="67" t="s">
        <v>31</v>
      </c>
      <c r="G12" s="67" t="s">
        <v>32</v>
      </c>
      <c r="H12" s="67" t="s">
        <v>32</v>
      </c>
      <c r="I12" s="67" t="s">
        <v>33</v>
      </c>
      <c r="J12" s="68" t="s">
        <v>34</v>
      </c>
      <c r="K12" s="69">
        <v>1.2</v>
      </c>
      <c r="L12" s="70">
        <f t="shared" ref="L12:L26" si="0">K12*B12</f>
        <v>1.2</v>
      </c>
      <c r="M12" s="71" t="s">
        <v>35</v>
      </c>
      <c r="N12" s="72"/>
      <c r="P12" s="73">
        <v>0.45</v>
      </c>
      <c r="Q12" s="74">
        <f>+P12*L12</f>
        <v>0.54</v>
      </c>
    </row>
    <row r="13" spans="1:17" ht="67" customHeight="1">
      <c r="A13" s="63">
        <v>2</v>
      </c>
      <c r="B13" s="64">
        <v>1</v>
      </c>
      <c r="C13" s="65">
        <f t="shared" ref="C13:C26" si="1">$C$6*B13</f>
        <v>12000</v>
      </c>
      <c r="D13" s="66"/>
      <c r="E13" s="66"/>
      <c r="F13" s="67" t="s">
        <v>36</v>
      </c>
      <c r="G13" s="67" t="s">
        <v>37</v>
      </c>
      <c r="H13" s="67" t="s">
        <v>38</v>
      </c>
      <c r="I13" s="67" t="s">
        <v>39</v>
      </c>
      <c r="J13" s="68" t="s">
        <v>34</v>
      </c>
      <c r="K13" s="69">
        <v>4.743412317158742E-2</v>
      </c>
      <c r="L13" s="70">
        <f t="shared" si="0"/>
        <v>4.743412317158742E-2</v>
      </c>
      <c r="M13" s="71"/>
      <c r="N13" s="72" t="s">
        <v>40</v>
      </c>
      <c r="P13" s="73">
        <v>0.45</v>
      </c>
      <c r="Q13" s="74">
        <f t="shared" ref="Q13:Q25" si="2">+P13*L13</f>
        <v>2.134535542721434E-2</v>
      </c>
    </row>
    <row r="14" spans="1:17" ht="67" customHeight="1">
      <c r="A14" s="63">
        <v>3</v>
      </c>
      <c r="B14" s="64">
        <v>2</v>
      </c>
      <c r="C14" s="65">
        <f t="shared" si="1"/>
        <v>24000</v>
      </c>
      <c r="D14" s="66"/>
      <c r="E14" s="66"/>
      <c r="F14" s="67" t="s">
        <v>41</v>
      </c>
      <c r="G14" s="67" t="s">
        <v>42</v>
      </c>
      <c r="H14" s="67" t="s">
        <v>43</v>
      </c>
      <c r="I14" s="67" t="s">
        <v>44</v>
      </c>
      <c r="J14" s="68" t="s">
        <v>34</v>
      </c>
      <c r="K14" s="69">
        <v>2.2639013331893994E-2</v>
      </c>
      <c r="L14" s="70">
        <f t="shared" si="0"/>
        <v>4.5278026663787989E-2</v>
      </c>
      <c r="M14" s="71"/>
      <c r="N14" s="72" t="s">
        <v>45</v>
      </c>
      <c r="P14" s="73">
        <v>0.45</v>
      </c>
      <c r="Q14" s="74">
        <f t="shared" si="2"/>
        <v>2.0375111998704596E-2</v>
      </c>
    </row>
    <row r="15" spans="1:17" ht="55.9" customHeight="1">
      <c r="A15" s="63">
        <v>4</v>
      </c>
      <c r="B15" s="64">
        <v>1</v>
      </c>
      <c r="C15" s="65">
        <f t="shared" si="1"/>
        <v>12000</v>
      </c>
      <c r="D15" s="66"/>
      <c r="E15" s="66"/>
      <c r="F15" s="67" t="s">
        <v>46</v>
      </c>
      <c r="G15" s="67" t="s">
        <v>47</v>
      </c>
      <c r="H15" s="67" t="s">
        <v>48</v>
      </c>
      <c r="I15" s="67" t="s">
        <v>49</v>
      </c>
      <c r="J15" s="68" t="s">
        <v>34</v>
      </c>
      <c r="K15" s="69">
        <v>1.3244592833625057E-2</v>
      </c>
      <c r="L15" s="70">
        <f t="shared" si="0"/>
        <v>1.3244592833625057E-2</v>
      </c>
      <c r="M15" s="71"/>
      <c r="N15" s="72" t="s">
        <v>50</v>
      </c>
      <c r="P15" s="73">
        <v>0.45</v>
      </c>
      <c r="Q15" s="74">
        <f t="shared" si="2"/>
        <v>5.960066775131276E-3</v>
      </c>
    </row>
    <row r="16" spans="1:17" ht="67.150000000000006" customHeight="1">
      <c r="A16" s="63">
        <v>5</v>
      </c>
      <c r="B16" s="64">
        <v>1</v>
      </c>
      <c r="C16" s="65">
        <f t="shared" si="1"/>
        <v>12000</v>
      </c>
      <c r="D16" s="66"/>
      <c r="E16" s="66"/>
      <c r="F16" s="67" t="s">
        <v>51</v>
      </c>
      <c r="G16" s="67" t="s">
        <v>52</v>
      </c>
      <c r="H16" s="67" t="s">
        <v>53</v>
      </c>
      <c r="I16" s="67" t="s">
        <v>54</v>
      </c>
      <c r="J16" s="68" t="s">
        <v>34</v>
      </c>
      <c r="K16" s="69">
        <v>4.1999999999999997E-3</v>
      </c>
      <c r="L16" s="70">
        <f t="shared" si="0"/>
        <v>4.1999999999999997E-3</v>
      </c>
      <c r="M16" s="71"/>
      <c r="N16" s="72" t="s">
        <v>55</v>
      </c>
      <c r="P16" s="73">
        <v>0.45</v>
      </c>
      <c r="Q16" s="74">
        <f t="shared" si="2"/>
        <v>1.89E-3</v>
      </c>
    </row>
    <row r="17" spans="1:17" ht="52.9" customHeight="1">
      <c r="A17" s="63">
        <v>6</v>
      </c>
      <c r="B17" s="64">
        <v>1</v>
      </c>
      <c r="C17" s="65">
        <f t="shared" si="1"/>
        <v>12000</v>
      </c>
      <c r="D17" s="66"/>
      <c r="E17" s="66"/>
      <c r="F17" s="67" t="s">
        <v>46</v>
      </c>
      <c r="G17" s="67" t="s">
        <v>56</v>
      </c>
      <c r="H17" s="67" t="s">
        <v>57</v>
      </c>
      <c r="I17" s="67" t="s">
        <v>58</v>
      </c>
      <c r="J17" s="68" t="s">
        <v>34</v>
      </c>
      <c r="K17" s="69">
        <v>7.1999999999999998E-3</v>
      </c>
      <c r="L17" s="70">
        <f t="shared" si="0"/>
        <v>7.1999999999999998E-3</v>
      </c>
      <c r="M17" s="71"/>
      <c r="N17" s="72" t="s">
        <v>50</v>
      </c>
      <c r="P17" s="73">
        <v>0.45</v>
      </c>
      <c r="Q17" s="74">
        <f t="shared" si="2"/>
        <v>3.2399999999999998E-3</v>
      </c>
    </row>
    <row r="18" spans="1:17" ht="40" customHeight="1">
      <c r="A18" s="63">
        <v>7</v>
      </c>
      <c r="B18" s="75">
        <v>1</v>
      </c>
      <c r="C18" s="65">
        <f t="shared" si="1"/>
        <v>12000</v>
      </c>
      <c r="D18" s="66"/>
      <c r="E18" s="66"/>
      <c r="F18" s="67" t="s">
        <v>51</v>
      </c>
      <c r="G18" s="67" t="s">
        <v>59</v>
      </c>
      <c r="H18" s="67" t="s">
        <v>60</v>
      </c>
      <c r="I18" s="67" t="s">
        <v>61</v>
      </c>
      <c r="J18" s="68" t="s">
        <v>34</v>
      </c>
      <c r="K18" s="76">
        <v>1.7248772062395425E-3</v>
      </c>
      <c r="L18" s="70">
        <f t="shared" si="0"/>
        <v>1.7248772062395425E-3</v>
      </c>
      <c r="M18" s="71"/>
      <c r="N18" s="72" t="s">
        <v>55</v>
      </c>
      <c r="P18" s="73">
        <v>0.45</v>
      </c>
      <c r="Q18" s="74">
        <f t="shared" si="2"/>
        <v>7.7619474280779413E-4</v>
      </c>
    </row>
    <row r="19" spans="1:17" ht="18.5">
      <c r="A19" s="63">
        <v>8</v>
      </c>
      <c r="B19" s="75">
        <v>4</v>
      </c>
      <c r="C19" s="65">
        <f t="shared" si="1"/>
        <v>48000</v>
      </c>
      <c r="D19" s="66"/>
      <c r="E19" s="66"/>
      <c r="F19" s="67" t="s">
        <v>51</v>
      </c>
      <c r="G19" s="67" t="s">
        <v>62</v>
      </c>
      <c r="H19" s="67" t="s">
        <v>63</v>
      </c>
      <c r="I19" s="77" t="s">
        <v>64</v>
      </c>
      <c r="J19" s="68" t="s">
        <v>34</v>
      </c>
      <c r="K19" s="76">
        <v>3.5999999999999999E-3</v>
      </c>
      <c r="L19" s="70">
        <f t="shared" si="0"/>
        <v>1.44E-2</v>
      </c>
      <c r="M19" s="71"/>
      <c r="N19" s="72" t="s">
        <v>65</v>
      </c>
      <c r="P19" s="73">
        <v>0.45</v>
      </c>
      <c r="Q19" s="74">
        <f t="shared" si="2"/>
        <v>6.4799999999999996E-3</v>
      </c>
    </row>
    <row r="20" spans="1:17" ht="18.5">
      <c r="A20" s="63">
        <v>9</v>
      </c>
      <c r="B20" s="75">
        <v>3</v>
      </c>
      <c r="C20" s="65">
        <f t="shared" si="1"/>
        <v>36000</v>
      </c>
      <c r="D20" s="66"/>
      <c r="E20" s="66"/>
      <c r="F20" s="67" t="s">
        <v>66</v>
      </c>
      <c r="G20" s="67" t="s">
        <v>67</v>
      </c>
      <c r="H20" s="67" t="s">
        <v>68</v>
      </c>
      <c r="I20" s="77" t="s">
        <v>69</v>
      </c>
      <c r="J20" s="68" t="s">
        <v>34</v>
      </c>
      <c r="K20" s="76">
        <v>1.52E-2</v>
      </c>
      <c r="L20" s="70">
        <f t="shared" si="0"/>
        <v>4.5600000000000002E-2</v>
      </c>
      <c r="M20" s="71"/>
      <c r="N20" s="72" t="s">
        <v>70</v>
      </c>
      <c r="P20" s="73">
        <v>0.45</v>
      </c>
      <c r="Q20" s="74">
        <f t="shared" si="2"/>
        <v>2.052E-2</v>
      </c>
    </row>
    <row r="21" spans="1:17" ht="18.5">
      <c r="A21" s="63">
        <v>10</v>
      </c>
      <c r="B21" s="75">
        <v>1</v>
      </c>
      <c r="C21" s="65">
        <f t="shared" si="1"/>
        <v>12000</v>
      </c>
      <c r="D21" s="66"/>
      <c r="E21" s="66"/>
      <c r="F21" s="67" t="s">
        <v>51</v>
      </c>
      <c r="G21" s="67" t="s">
        <v>71</v>
      </c>
      <c r="H21" s="67" t="s">
        <v>72</v>
      </c>
      <c r="I21" s="77" t="s">
        <v>73</v>
      </c>
      <c r="J21" s="68" t="s">
        <v>34</v>
      </c>
      <c r="K21" s="76">
        <v>4.0000000000000001E-3</v>
      </c>
      <c r="L21" s="70">
        <f t="shared" si="0"/>
        <v>4.0000000000000001E-3</v>
      </c>
      <c r="M21" s="71"/>
      <c r="N21" s="72" t="s">
        <v>65</v>
      </c>
      <c r="P21" s="73">
        <v>0.45</v>
      </c>
      <c r="Q21" s="74">
        <f t="shared" si="2"/>
        <v>1.8000000000000002E-3</v>
      </c>
    </row>
    <row r="22" spans="1:17" ht="18.5">
      <c r="A22" s="63">
        <v>11</v>
      </c>
      <c r="B22" s="75">
        <v>3</v>
      </c>
      <c r="C22" s="65">
        <f t="shared" si="1"/>
        <v>36000</v>
      </c>
      <c r="D22" s="66"/>
      <c r="E22" s="66"/>
      <c r="F22" s="67" t="s">
        <v>51</v>
      </c>
      <c r="G22" s="67" t="s">
        <v>74</v>
      </c>
      <c r="H22" s="67" t="s">
        <v>75</v>
      </c>
      <c r="I22" s="67" t="s">
        <v>76</v>
      </c>
      <c r="J22" s="68" t="s">
        <v>34</v>
      </c>
      <c r="K22" s="69">
        <v>5.5999999999999999E-3</v>
      </c>
      <c r="L22" s="70">
        <f t="shared" si="0"/>
        <v>1.6799999999999999E-2</v>
      </c>
      <c r="M22" s="71"/>
      <c r="N22" s="72" t="s">
        <v>55</v>
      </c>
      <c r="P22" s="73">
        <v>0.45</v>
      </c>
      <c r="Q22" s="74">
        <f t="shared" si="2"/>
        <v>7.5599999999999999E-3</v>
      </c>
    </row>
    <row r="23" spans="1:17" ht="18.5">
      <c r="A23" s="63">
        <v>12</v>
      </c>
      <c r="B23" s="75">
        <v>1</v>
      </c>
      <c r="C23" s="65">
        <f t="shared" si="1"/>
        <v>12000</v>
      </c>
      <c r="D23" s="66"/>
      <c r="E23" s="66"/>
      <c r="F23" s="67" t="s">
        <v>77</v>
      </c>
      <c r="G23" s="67" t="s">
        <v>78</v>
      </c>
      <c r="H23" s="67" t="s">
        <v>79</v>
      </c>
      <c r="I23" s="67" t="s">
        <v>80</v>
      </c>
      <c r="J23" s="68" t="s">
        <v>34</v>
      </c>
      <c r="K23" s="69">
        <v>9.7024342850974263E-2</v>
      </c>
      <c r="L23" s="70">
        <f t="shared" si="0"/>
        <v>9.7024342850974263E-2</v>
      </c>
      <c r="M23" s="71"/>
      <c r="N23" s="72" t="s">
        <v>81</v>
      </c>
      <c r="P23" s="73">
        <v>0.45</v>
      </c>
      <c r="Q23" s="74">
        <f t="shared" si="2"/>
        <v>4.3660954282938418E-2</v>
      </c>
    </row>
    <row r="24" spans="1:17" ht="105">
      <c r="A24" s="63">
        <v>13</v>
      </c>
      <c r="B24" s="64">
        <v>1</v>
      </c>
      <c r="C24" s="65">
        <f t="shared" si="1"/>
        <v>12000</v>
      </c>
      <c r="D24" s="66"/>
      <c r="E24" s="66"/>
      <c r="F24" s="67"/>
      <c r="G24" s="67"/>
      <c r="H24" s="67" t="s">
        <v>82</v>
      </c>
      <c r="I24" s="67"/>
      <c r="J24" s="68" t="s">
        <v>34</v>
      </c>
      <c r="K24" s="69">
        <v>0.95</v>
      </c>
      <c r="L24" s="70">
        <f t="shared" si="0"/>
        <v>0.95</v>
      </c>
      <c r="M24" s="78" t="s">
        <v>83</v>
      </c>
      <c r="N24" s="72" t="s">
        <v>84</v>
      </c>
      <c r="P24" s="73">
        <v>0.45</v>
      </c>
      <c r="Q24" s="74">
        <f t="shared" si="2"/>
        <v>0.42749999999999999</v>
      </c>
    </row>
    <row r="25" spans="1:17" ht="36" customHeight="1">
      <c r="A25" s="63">
        <v>14</v>
      </c>
      <c r="B25" s="66">
        <v>1</v>
      </c>
      <c r="C25" s="65">
        <f t="shared" si="1"/>
        <v>12000</v>
      </c>
      <c r="D25" s="66"/>
      <c r="E25" s="66"/>
      <c r="F25" s="67"/>
      <c r="G25" s="67"/>
      <c r="H25" s="67" t="s">
        <v>85</v>
      </c>
      <c r="I25" s="67"/>
      <c r="J25" s="68" t="s">
        <v>34</v>
      </c>
      <c r="K25" s="69">
        <v>0.13159999999999999</v>
      </c>
      <c r="L25" s="70">
        <f t="shared" si="0"/>
        <v>0.13159999999999999</v>
      </c>
      <c r="M25" s="71"/>
      <c r="N25" s="72" t="s">
        <v>86</v>
      </c>
      <c r="P25" s="73">
        <v>0.45</v>
      </c>
      <c r="Q25" s="74">
        <f t="shared" si="2"/>
        <v>5.9220000000000002E-2</v>
      </c>
    </row>
    <row r="26" spans="1:17" ht="17.5">
      <c r="A26" s="63">
        <v>15</v>
      </c>
      <c r="B26" s="66">
        <v>1</v>
      </c>
      <c r="C26" s="65">
        <f t="shared" si="1"/>
        <v>12000</v>
      </c>
      <c r="D26" s="66"/>
      <c r="E26" s="66"/>
      <c r="F26" s="67"/>
      <c r="G26" s="67" t="s">
        <v>87</v>
      </c>
      <c r="H26" s="67"/>
      <c r="I26" s="67"/>
      <c r="J26" s="68"/>
      <c r="K26" s="69">
        <v>2.1890769230769231E-2</v>
      </c>
      <c r="L26" s="70">
        <f t="shared" si="0"/>
        <v>2.1890769230769231E-2</v>
      </c>
      <c r="M26" s="79"/>
      <c r="N26" s="72"/>
      <c r="P26" s="73"/>
      <c r="Q26" s="74"/>
    </row>
    <row r="27" spans="1:17" ht="17.5">
      <c r="A27" s="63">
        <v>16</v>
      </c>
      <c r="B27" s="66"/>
      <c r="C27" s="65"/>
      <c r="D27" s="66"/>
      <c r="E27" s="66"/>
      <c r="F27" s="67"/>
      <c r="G27" s="67"/>
      <c r="H27" s="80"/>
      <c r="I27" s="80"/>
      <c r="J27" s="68"/>
      <c r="K27" s="69"/>
      <c r="L27" s="70"/>
      <c r="M27" s="78"/>
      <c r="N27" s="72"/>
      <c r="P27" s="73"/>
      <c r="Q27" s="74"/>
    </row>
    <row r="28" spans="1:17" ht="18" thickBot="1">
      <c r="A28" s="63">
        <v>20</v>
      </c>
      <c r="B28" s="66"/>
      <c r="C28" s="65"/>
      <c r="D28" s="66"/>
      <c r="E28" s="66"/>
      <c r="F28" s="66"/>
      <c r="G28" s="66"/>
      <c r="H28" s="66"/>
      <c r="I28" s="81"/>
      <c r="J28" s="68"/>
      <c r="K28" s="82"/>
      <c r="L28" s="83"/>
      <c r="M28" s="84"/>
      <c r="N28" s="72"/>
      <c r="P28" s="85"/>
      <c r="Q28" s="86"/>
    </row>
    <row r="29" spans="1:17" ht="36.5" thickBot="1">
      <c r="A29" s="7"/>
      <c r="B29" s="7"/>
      <c r="C29" s="7"/>
      <c r="D29" s="7"/>
      <c r="E29" s="7"/>
      <c r="F29" s="7"/>
      <c r="I29" s="7"/>
      <c r="K29" s="87" t="s">
        <v>88</v>
      </c>
      <c r="L29" s="88">
        <f>SUM(L12:L28)</f>
        <v>2.6003967319569838</v>
      </c>
      <c r="M29" s="89"/>
      <c r="N29" s="7"/>
      <c r="P29" s="90" t="s">
        <v>89</v>
      </c>
      <c r="Q29" s="91">
        <f>SUM(Q12:Q28)</f>
        <v>1.1603276832267964</v>
      </c>
    </row>
    <row r="30" spans="1:17" ht="54" customHeight="1">
      <c r="A30" s="7"/>
      <c r="B30" s="7"/>
      <c r="C30" s="7"/>
      <c r="D30" s="7"/>
      <c r="E30" s="7"/>
      <c r="F30" s="7"/>
      <c r="I30" s="7"/>
      <c r="K30" s="92" t="s">
        <v>90</v>
      </c>
      <c r="L30" s="93">
        <v>1.0159310590294658E-2</v>
      </c>
      <c r="M30" s="89"/>
      <c r="N30" s="7"/>
    </row>
    <row r="31" spans="1:17" ht="54" customHeight="1">
      <c r="A31" s="94" t="s">
        <v>91</v>
      </c>
      <c r="B31" s="94"/>
      <c r="C31" s="94"/>
      <c r="D31" s="94"/>
      <c r="E31" s="94"/>
      <c r="F31" s="94"/>
      <c r="G31" s="94"/>
      <c r="H31" s="94"/>
      <c r="I31" s="94"/>
      <c r="K31" s="92" t="s">
        <v>92</v>
      </c>
      <c r="L31" s="93">
        <v>0.45029999999999998</v>
      </c>
      <c r="M31" s="89"/>
      <c r="N31" s="7"/>
    </row>
    <row r="32" spans="1:17" ht="45" customHeight="1">
      <c r="A32" s="95" t="s">
        <v>93</v>
      </c>
      <c r="B32" s="96"/>
      <c r="C32" s="96"/>
      <c r="D32" s="96"/>
      <c r="E32" s="96"/>
      <c r="F32" s="96"/>
      <c r="G32" s="96"/>
      <c r="H32" s="96"/>
      <c r="I32" s="97"/>
      <c r="K32" s="92" t="s">
        <v>94</v>
      </c>
      <c r="L32" s="93">
        <v>0.2046</v>
      </c>
      <c r="M32" s="89"/>
      <c r="N32" s="7"/>
    </row>
    <row r="33" spans="1:14" ht="49.5" customHeight="1">
      <c r="A33" s="98"/>
      <c r="B33" s="99"/>
      <c r="C33" s="99"/>
      <c r="D33" s="99"/>
      <c r="E33" s="99"/>
      <c r="F33" s="99"/>
      <c r="G33" s="99"/>
      <c r="H33" s="99"/>
      <c r="I33" s="100"/>
      <c r="K33" s="92" t="s">
        <v>95</v>
      </c>
      <c r="L33" s="93">
        <v>0.2046</v>
      </c>
      <c r="M33" s="89"/>
      <c r="N33" s="7"/>
    </row>
    <row r="34" spans="1:14" ht="18">
      <c r="A34" s="98"/>
      <c r="B34" s="99"/>
      <c r="C34" s="99"/>
      <c r="D34" s="99"/>
      <c r="E34" s="99"/>
      <c r="F34" s="99"/>
      <c r="G34" s="99"/>
      <c r="H34" s="99"/>
      <c r="I34" s="100"/>
      <c r="K34" s="92" t="s">
        <v>96</v>
      </c>
      <c r="L34" s="93">
        <v>0.17899999999999999</v>
      </c>
      <c r="M34" s="89"/>
      <c r="N34" s="7"/>
    </row>
    <row r="35" spans="1:14" ht="36">
      <c r="A35" s="98"/>
      <c r="B35" s="99"/>
      <c r="C35" s="99"/>
      <c r="D35" s="99"/>
      <c r="E35" s="99"/>
      <c r="F35" s="99"/>
      <c r="G35" s="99"/>
      <c r="H35" s="99"/>
      <c r="I35" s="100"/>
      <c r="K35" s="92" t="s">
        <v>97</v>
      </c>
      <c r="L35" s="93">
        <v>3.95E-2</v>
      </c>
      <c r="M35" s="89"/>
      <c r="N35" s="7"/>
    </row>
    <row r="36" spans="1:14" ht="36">
      <c r="A36" s="98"/>
      <c r="B36" s="99"/>
      <c r="C36" s="99"/>
      <c r="D36" s="99"/>
      <c r="E36" s="99"/>
      <c r="F36" s="99"/>
      <c r="G36" s="99"/>
      <c r="H36" s="99"/>
      <c r="I36" s="100"/>
      <c r="K36" s="92" t="s">
        <v>98</v>
      </c>
      <c r="L36" s="93">
        <v>7.8011901958709509E-2</v>
      </c>
      <c r="M36" s="89"/>
      <c r="N36" s="7"/>
    </row>
    <row r="37" spans="1:14" ht="17.25" customHeight="1">
      <c r="A37" s="98"/>
      <c r="B37" s="99"/>
      <c r="C37" s="99"/>
      <c r="D37" s="99"/>
      <c r="E37" s="99"/>
      <c r="F37" s="99"/>
      <c r="G37" s="99"/>
      <c r="H37" s="99"/>
      <c r="I37" s="100"/>
      <c r="K37" s="101"/>
      <c r="L37" s="93"/>
      <c r="M37" s="7"/>
      <c r="N37" s="7"/>
    </row>
    <row r="38" spans="1:14" ht="17.25" customHeight="1">
      <c r="A38" s="98"/>
      <c r="B38" s="99"/>
      <c r="C38" s="99"/>
      <c r="D38" s="99"/>
      <c r="E38" s="99"/>
      <c r="F38" s="99"/>
      <c r="G38" s="99"/>
      <c r="H38" s="99"/>
      <c r="I38" s="100"/>
      <c r="K38" s="102"/>
      <c r="L38" s="93"/>
      <c r="M38" s="7"/>
      <c r="N38" s="7"/>
    </row>
    <row r="39" spans="1:14" ht="17.25" customHeight="1" thickBot="1">
      <c r="A39" s="103"/>
      <c r="B39" s="104"/>
      <c r="C39" s="104"/>
      <c r="D39" s="104"/>
      <c r="E39" s="104"/>
      <c r="F39" s="104"/>
      <c r="G39" s="104"/>
      <c r="H39" s="104"/>
      <c r="I39" s="105"/>
      <c r="K39" s="106"/>
      <c r="L39" s="93"/>
      <c r="M39" s="7"/>
      <c r="N39" s="7"/>
    </row>
    <row r="40" spans="1:14" ht="54.5" thickBot="1">
      <c r="A40" s="7"/>
      <c r="B40" s="7"/>
      <c r="C40" s="7"/>
      <c r="D40" s="7"/>
      <c r="E40" s="7"/>
      <c r="F40" s="4"/>
      <c r="K40" s="108" t="s">
        <v>99</v>
      </c>
      <c r="L40" s="109">
        <f>SUM(L29:L37)</f>
        <v>3.7665679445059879</v>
      </c>
      <c r="M40" s="7"/>
      <c r="N40" s="7"/>
    </row>
    <row r="41" spans="1:14" ht="54.5" thickBot="1">
      <c r="A41" s="7"/>
      <c r="B41" s="7"/>
      <c r="C41" s="7"/>
      <c r="D41" s="7"/>
      <c r="E41" s="7"/>
      <c r="F41" s="4"/>
      <c r="K41" s="110" t="s">
        <v>89</v>
      </c>
      <c r="L41" s="111">
        <f>+Q29</f>
        <v>1.1603276832267964</v>
      </c>
      <c r="M41" s="7"/>
      <c r="N41" s="7"/>
    </row>
    <row r="42" spans="1:14" ht="72.5" thickBot="1">
      <c r="A42" s="7"/>
      <c r="B42" s="7"/>
      <c r="C42" s="7"/>
      <c r="D42" s="7"/>
      <c r="E42" s="7"/>
      <c r="F42" s="4"/>
      <c r="K42" s="112" t="s">
        <v>100</v>
      </c>
      <c r="L42" s="113">
        <f>L40+L41</f>
        <v>4.926895627732784</v>
      </c>
      <c r="M42" s="114"/>
      <c r="N42" s="53"/>
    </row>
    <row r="43" spans="1:14">
      <c r="A43" s="7"/>
      <c r="B43" s="7"/>
      <c r="C43" s="7"/>
      <c r="D43" s="7"/>
      <c r="E43" s="7"/>
      <c r="F43" s="7"/>
      <c r="I43" s="7"/>
      <c r="L43" s="7"/>
      <c r="M43" s="7"/>
      <c r="N43" s="8"/>
    </row>
    <row r="44" spans="1:14" s="115" customFormat="1" ht="16" thickBo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8"/>
    </row>
    <row r="45" spans="1:14" s="115" customFormat="1" ht="25">
      <c r="A45" s="94" t="s">
        <v>101</v>
      </c>
      <c r="B45" s="94"/>
      <c r="C45" s="94"/>
      <c r="D45" s="94"/>
      <c r="E45" s="94"/>
      <c r="F45" s="94"/>
      <c r="G45" s="94"/>
      <c r="H45" s="7"/>
      <c r="I45" s="116" t="s">
        <v>102</v>
      </c>
      <c r="J45" s="117"/>
      <c r="K45" s="117"/>
      <c r="L45" s="118"/>
      <c r="M45" s="119"/>
      <c r="N45" s="120"/>
    </row>
    <row r="46" spans="1:14" s="7" customFormat="1" ht="18">
      <c r="A46" s="121" t="s">
        <v>15</v>
      </c>
      <c r="B46" s="121" t="s">
        <v>103</v>
      </c>
      <c r="C46" s="121" t="s">
        <v>18</v>
      </c>
      <c r="D46" s="122" t="s">
        <v>26</v>
      </c>
      <c r="E46" s="122"/>
      <c r="F46" s="123" t="s">
        <v>22</v>
      </c>
      <c r="G46" s="123"/>
      <c r="I46" s="124"/>
      <c r="J46" s="125"/>
      <c r="K46" s="125"/>
      <c r="L46" s="126"/>
      <c r="M46" s="127"/>
      <c r="N46" s="128"/>
    </row>
    <row r="47" spans="1:14" s="7" customFormat="1" ht="17.5">
      <c r="A47" s="63">
        <v>1</v>
      </c>
      <c r="B47" s="129">
        <v>1</v>
      </c>
      <c r="C47" s="129" t="s">
        <v>104</v>
      </c>
      <c r="D47" s="130">
        <v>800</v>
      </c>
      <c r="E47" s="130"/>
      <c r="F47" s="131" t="s">
        <v>105</v>
      </c>
      <c r="G47" s="132"/>
      <c r="I47" s="133" t="s">
        <v>106</v>
      </c>
      <c r="J47" s="125"/>
      <c r="K47" s="125"/>
      <c r="L47" s="126"/>
      <c r="M47" s="127"/>
      <c r="N47" s="128"/>
    </row>
    <row r="48" spans="1:14" s="7" customFormat="1" ht="17.5">
      <c r="A48" s="63">
        <v>2</v>
      </c>
      <c r="B48" s="129">
        <v>1</v>
      </c>
      <c r="C48" s="129" t="s">
        <v>104</v>
      </c>
      <c r="D48" s="130">
        <v>700</v>
      </c>
      <c r="E48" s="130"/>
      <c r="F48" s="131" t="s">
        <v>107</v>
      </c>
      <c r="G48" s="132"/>
      <c r="I48" s="134" t="s">
        <v>108</v>
      </c>
      <c r="J48" s="125"/>
      <c r="K48" s="125"/>
      <c r="L48" s="126"/>
      <c r="M48" s="127"/>
      <c r="N48" s="128"/>
    </row>
    <row r="49" spans="1:20" s="7" customFormat="1" ht="17.5">
      <c r="A49" s="63">
        <v>3</v>
      </c>
      <c r="B49" s="129">
        <v>1</v>
      </c>
      <c r="C49" s="129" t="s">
        <v>104</v>
      </c>
      <c r="D49" s="130">
        <v>3500</v>
      </c>
      <c r="E49" s="130"/>
      <c r="F49" s="131" t="s">
        <v>109</v>
      </c>
      <c r="G49" s="132"/>
      <c r="I49" s="134" t="s">
        <v>110</v>
      </c>
      <c r="J49" s="125"/>
      <c r="K49" s="125"/>
      <c r="L49" s="126"/>
      <c r="M49" s="127"/>
      <c r="N49" s="128"/>
    </row>
    <row r="50" spans="1:20" s="7" customFormat="1" ht="17.5">
      <c r="A50" s="63">
        <v>4</v>
      </c>
      <c r="B50" s="129">
        <v>1</v>
      </c>
      <c r="C50" s="129" t="s">
        <v>104</v>
      </c>
      <c r="D50" s="130">
        <v>2500</v>
      </c>
      <c r="E50" s="130"/>
      <c r="F50" s="131" t="s">
        <v>111</v>
      </c>
      <c r="G50" s="132"/>
      <c r="I50" s="134" t="s">
        <v>112</v>
      </c>
      <c r="J50" s="125"/>
      <c r="K50" s="125"/>
      <c r="L50" s="126"/>
      <c r="M50" s="127"/>
      <c r="N50" s="128"/>
    </row>
    <row r="51" spans="1:20" s="7" customFormat="1" ht="17.5">
      <c r="A51" s="63">
        <v>5</v>
      </c>
      <c r="B51" s="129">
        <v>1</v>
      </c>
      <c r="C51" s="129" t="s">
        <v>104</v>
      </c>
      <c r="D51" s="130">
        <v>7000</v>
      </c>
      <c r="E51" s="130"/>
      <c r="F51" s="131" t="s">
        <v>113</v>
      </c>
      <c r="G51" s="132"/>
      <c r="I51" s="134"/>
      <c r="J51" s="125"/>
      <c r="K51" s="125"/>
      <c r="L51" s="126"/>
      <c r="M51" s="127"/>
      <c r="N51" s="128"/>
    </row>
    <row r="52" spans="1:20" s="7" customFormat="1" ht="17.5">
      <c r="A52" s="63">
        <v>6</v>
      </c>
      <c r="B52" s="135"/>
      <c r="C52" s="135"/>
      <c r="D52" s="136"/>
      <c r="E52" s="136"/>
      <c r="F52" s="137"/>
      <c r="G52" s="137"/>
      <c r="I52" s="124" t="s">
        <v>114</v>
      </c>
      <c r="J52" s="125"/>
      <c r="K52" s="125"/>
      <c r="L52" s="126"/>
      <c r="M52" s="127"/>
      <c r="N52" s="128"/>
    </row>
    <row r="53" spans="1:20" s="7" customFormat="1" ht="17.5">
      <c r="A53" s="63">
        <v>7</v>
      </c>
      <c r="B53" s="129"/>
      <c r="C53" s="129"/>
      <c r="D53" s="130"/>
      <c r="E53" s="130"/>
      <c r="F53" s="131"/>
      <c r="G53" s="131"/>
      <c r="I53" s="138" t="s">
        <v>115</v>
      </c>
      <c r="J53" s="125"/>
      <c r="K53" s="125"/>
      <c r="L53" s="126"/>
      <c r="M53" s="127"/>
      <c r="N53" s="128"/>
    </row>
    <row r="54" spans="1:20" s="7" customFormat="1" ht="18" thickBot="1">
      <c r="A54" s="63">
        <v>8</v>
      </c>
      <c r="B54" s="129"/>
      <c r="C54" s="129"/>
      <c r="D54" s="130"/>
      <c r="E54" s="130"/>
      <c r="F54" s="131"/>
      <c r="G54" s="131"/>
      <c r="I54" s="139"/>
      <c r="J54" s="140"/>
      <c r="K54" s="140"/>
      <c r="L54" s="140"/>
      <c r="M54" s="141"/>
      <c r="N54" s="142"/>
    </row>
    <row r="55" spans="1:20" s="7" customFormat="1" ht="17.5">
      <c r="A55" s="63">
        <v>9</v>
      </c>
      <c r="B55" s="129"/>
      <c r="C55" s="129"/>
      <c r="D55" s="130"/>
      <c r="E55" s="130"/>
      <c r="F55" s="131"/>
      <c r="G55" s="131"/>
      <c r="I55" s="107"/>
      <c r="L55" s="143"/>
      <c r="M55" s="9"/>
      <c r="N55" s="144"/>
    </row>
    <row r="56" spans="1:20" s="7" customFormat="1" ht="17.5">
      <c r="A56" s="63">
        <v>10</v>
      </c>
      <c r="B56" s="145"/>
      <c r="C56" s="145"/>
      <c r="D56" s="130"/>
      <c r="E56" s="130"/>
      <c r="F56" s="146"/>
      <c r="G56" s="146"/>
      <c r="I56" s="107"/>
      <c r="L56" s="143"/>
      <c r="M56" s="9"/>
      <c r="N56" s="144"/>
    </row>
    <row r="57" spans="1:20" s="7" customFormat="1" ht="17.5">
      <c r="A57" s="63">
        <v>11</v>
      </c>
      <c r="B57" s="145"/>
      <c r="C57" s="145"/>
      <c r="D57" s="130"/>
      <c r="E57" s="130"/>
      <c r="F57" s="146"/>
      <c r="G57" s="146"/>
      <c r="I57" s="107"/>
      <c r="L57" s="143"/>
      <c r="M57" s="9"/>
      <c r="N57" s="144"/>
    </row>
    <row r="58" spans="1:20" s="7" customFormat="1" ht="17.5">
      <c r="A58" s="63">
        <v>12</v>
      </c>
      <c r="B58" s="145"/>
      <c r="C58" s="145"/>
      <c r="D58" s="130"/>
      <c r="E58" s="130"/>
      <c r="F58" s="146"/>
      <c r="G58" s="146"/>
      <c r="I58" s="107"/>
      <c r="L58" s="143"/>
      <c r="M58" s="9"/>
      <c r="N58" s="144"/>
    </row>
    <row r="59" spans="1:20" s="7" customFormat="1" ht="17.5">
      <c r="A59" s="63">
        <v>13</v>
      </c>
      <c r="B59" s="145"/>
      <c r="C59" s="145"/>
      <c r="D59" s="130"/>
      <c r="E59" s="130"/>
      <c r="F59" s="146"/>
      <c r="G59" s="146"/>
      <c r="I59" s="107"/>
      <c r="L59" s="143"/>
      <c r="M59" s="9"/>
      <c r="N59" s="144"/>
    </row>
    <row r="60" spans="1:20" s="7" customFormat="1" ht="17.5">
      <c r="A60" s="52"/>
      <c r="B60" s="147"/>
      <c r="C60" s="147"/>
      <c r="D60" s="148"/>
      <c r="E60" s="148"/>
      <c r="F60" s="149"/>
      <c r="I60" s="107"/>
      <c r="L60" s="143"/>
      <c r="M60" s="9"/>
      <c r="N60" s="144"/>
    </row>
    <row r="61" spans="1:20" s="7" customFormat="1" ht="18">
      <c r="A61" s="52"/>
      <c r="B61" s="147"/>
      <c r="C61" s="147"/>
      <c r="D61" s="150">
        <f>SUM(D47:D60)</f>
        <v>14500</v>
      </c>
      <c r="I61" s="107"/>
      <c r="L61" s="143"/>
      <c r="M61" s="9"/>
      <c r="N61" s="144"/>
    </row>
    <row r="62" spans="1:20" s="7" customFormat="1" ht="40" customHeight="1">
      <c r="A62" s="9"/>
      <c r="B62" s="9"/>
      <c r="C62" s="9"/>
      <c r="D62" s="151"/>
      <c r="I62" s="107"/>
      <c r="L62" s="143"/>
      <c r="M62" s="9"/>
      <c r="N62" s="144"/>
      <c r="O62" s="9"/>
      <c r="P62" s="9"/>
      <c r="Q62" s="9"/>
      <c r="R62" s="9"/>
      <c r="S62" s="9"/>
      <c r="T62" s="9"/>
    </row>
    <row r="63" spans="1:20" s="7" customFormat="1" ht="40" customHeight="1">
      <c r="A63" s="9"/>
      <c r="B63" s="9"/>
      <c r="C63" s="9"/>
      <c r="D63" s="151"/>
      <c r="I63" s="107"/>
      <c r="L63" s="143"/>
      <c r="M63" s="9"/>
      <c r="N63" s="144"/>
      <c r="O63" s="9"/>
      <c r="P63" s="9"/>
      <c r="Q63" s="9"/>
      <c r="R63" s="9"/>
      <c r="S63" s="9"/>
      <c r="T63" s="9"/>
    </row>
    <row r="64" spans="1:20" s="7" customFormat="1" ht="40" customHeight="1">
      <c r="A64" s="9"/>
      <c r="B64" s="9"/>
      <c r="C64" s="9"/>
      <c r="D64" s="151"/>
      <c r="E64" s="151"/>
      <c r="F64" s="152"/>
      <c r="I64" s="107"/>
      <c r="L64" s="143"/>
      <c r="M64" s="9"/>
      <c r="N64" s="144"/>
      <c r="O64" s="9"/>
      <c r="P64" s="9"/>
      <c r="Q64" s="9"/>
      <c r="R64" s="9"/>
      <c r="S64" s="9"/>
      <c r="T64" s="9"/>
    </row>
    <row r="65" spans="1:20" s="7" customFormat="1" ht="40" customHeight="1">
      <c r="A65" s="9"/>
      <c r="B65" s="9"/>
      <c r="C65" s="9"/>
      <c r="D65" s="151"/>
      <c r="E65" s="151"/>
      <c r="F65" s="152"/>
      <c r="I65" s="107"/>
      <c r="L65" s="143"/>
      <c r="M65" s="9"/>
      <c r="N65" s="144"/>
      <c r="O65" s="9"/>
      <c r="P65" s="9"/>
      <c r="Q65" s="9"/>
      <c r="R65" s="9"/>
      <c r="S65" s="9"/>
      <c r="T65" s="9"/>
    </row>
  </sheetData>
  <mergeCells count="29">
    <mergeCell ref="F55:G55"/>
    <mergeCell ref="F56:G56"/>
    <mergeCell ref="F57:G57"/>
    <mergeCell ref="F58:G58"/>
    <mergeCell ref="F59:G59"/>
    <mergeCell ref="F49:G49"/>
    <mergeCell ref="F50:G50"/>
    <mergeCell ref="F51:G51"/>
    <mergeCell ref="F52:G52"/>
    <mergeCell ref="F53:G53"/>
    <mergeCell ref="F54:G54"/>
    <mergeCell ref="A31:I31"/>
    <mergeCell ref="A32:I39"/>
    <mergeCell ref="A45:G45"/>
    <mergeCell ref="F46:G46"/>
    <mergeCell ref="F47:G47"/>
    <mergeCell ref="F48:G48"/>
    <mergeCell ref="A7:B7"/>
    <mergeCell ref="C7:G7"/>
    <mergeCell ref="L7:N7"/>
    <mergeCell ref="A8:B8"/>
    <mergeCell ref="C8:G8"/>
    <mergeCell ref="K10:L10"/>
    <mergeCell ref="A3:B3"/>
    <mergeCell ref="C3:G3"/>
    <mergeCell ref="A4:B4"/>
    <mergeCell ref="C4:G4"/>
    <mergeCell ref="A5:B5"/>
    <mergeCell ref="A6:B6"/>
  </mergeCells>
  <conditionalFormatting sqref="F27:H27">
    <cfRule type="expression" dxfId="3" priority="4">
      <formula>IF(#REF!&lt;&gt;"",1)</formula>
    </cfRule>
  </conditionalFormatting>
  <conditionalFormatting sqref="F26:H26">
    <cfRule type="expression" dxfId="2" priority="3">
      <formula>IF(#REF!&lt;&gt;"",1)</formula>
    </cfRule>
  </conditionalFormatting>
  <conditionalFormatting sqref="F12:G25">
    <cfRule type="expression" dxfId="1" priority="2">
      <formula>IF(#REF!&lt;&gt;"",1)</formula>
    </cfRule>
  </conditionalFormatting>
  <conditionalFormatting sqref="H12:H25">
    <cfRule type="expression" dxfId="0" priority="1">
      <formula>IF(#REF!&lt;&gt;"",1)</formula>
    </cfRule>
  </conditionalFormatting>
  <pageMargins left="0.36" right="0.27" top="0.62" bottom="0.48" header="0.5" footer="0.35"/>
  <pageSetup scale="2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 quote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365</dc:creator>
  <cp:lastModifiedBy>Microsoft 365</cp:lastModifiedBy>
  <dcterms:created xsi:type="dcterms:W3CDTF">2026-02-02T19:14:44Z</dcterms:created>
  <dcterms:modified xsi:type="dcterms:W3CDTF">2026-02-02T19:18:27Z</dcterms:modified>
</cp:coreProperties>
</file>