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Input" sheetId="1" state="visible" r:id="rId1"/>
    <sheet xmlns:r="http://schemas.openxmlformats.org/officeDocument/2006/relationships" name="Submission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5" customWidth="1" min="5" max="5"/>
    <col width="32" customWidth="1" min="6" max="6"/>
  </cols>
  <sheetData>
    <row r="1">
      <c r="A1" s="1" t="inlineStr">
        <is>
          <t>Cost Template - Case C</t>
        </is>
      </c>
    </row>
    <row r="3">
      <c r="A3" s="2" t="inlineStr">
        <is>
          <t>Part Name</t>
        </is>
      </c>
      <c r="B3" s="3" t="inlineStr">
        <is>
          <t>Seat Side Impact Reinforcement</t>
        </is>
      </c>
      <c r="C3" s="2" t="inlineStr">
        <is>
          <t>Part Number</t>
        </is>
      </c>
      <c r="D3" s="3" t="inlineStr">
        <is>
          <t>NB-SI-3411</t>
        </is>
      </c>
      <c r="E3" s="2" t="inlineStr">
        <is>
          <t>Annual Volume</t>
        </is>
      </c>
      <c r="F3" s="3" t="n">
        <v>150000</v>
      </c>
    </row>
    <row r="4">
      <c r="A4" s="2" t="inlineStr">
        <is>
          <t>Material</t>
        </is>
      </c>
      <c r="B4" s="3" t="inlineStr">
        <is>
          <t>SPFC980Y</t>
        </is>
      </c>
      <c r="C4" s="2" t="inlineStr">
        <is>
          <t>Process</t>
        </is>
      </c>
      <c r="D4" s="3" t="inlineStr">
        <is>
          <t>Stamping + Forming + Camera Inspection</t>
        </is>
      </c>
      <c r="E4" s="2" t="inlineStr">
        <is>
          <t>Currency</t>
        </is>
      </c>
      <c r="F4" s="3" t="inlineStr">
        <is>
          <t>USD</t>
        </is>
      </c>
    </row>
    <row r="7">
      <c r="A7" s="4" t="inlineStr">
        <is>
          <t>Cost Element</t>
        </is>
      </c>
      <c r="B7" s="4" t="inlineStr">
        <is>
          <t>Unit</t>
        </is>
      </c>
      <c r="C7" s="4" t="inlineStr">
        <is>
          <t>Input Value</t>
        </is>
      </c>
      <c r="D7" s="4" t="inlineStr">
        <is>
          <t>Rate / Cost</t>
        </is>
      </c>
      <c r="E7" s="4" t="inlineStr">
        <is>
          <t>Per Piece Cost</t>
        </is>
      </c>
      <c r="F7" s="4" t="inlineStr">
        <is>
          <t>Notes</t>
        </is>
      </c>
    </row>
    <row r="8">
      <c r="A8" s="5" t="inlineStr">
        <is>
          <t>Material weight</t>
        </is>
      </c>
      <c r="B8" s="5" t="inlineStr">
        <is>
          <t>kg/pc</t>
        </is>
      </c>
      <c r="C8" s="5" t="inlineStr"/>
      <c r="D8" s="5" t="inlineStr"/>
      <c r="E8" s="5">
        <f>C8*D8</f>
        <v/>
      </c>
      <c r="F8" s="5" t="inlineStr">
        <is>
          <t>Enter estimated net material weight</t>
        </is>
      </c>
    </row>
    <row r="9">
      <c r="A9" s="5" t="inlineStr">
        <is>
          <t>Material scrap rate</t>
        </is>
      </c>
      <c r="B9" s="5" t="inlineStr">
        <is>
          <t>%</t>
        </is>
      </c>
      <c r="C9" s="5" t="inlineStr"/>
      <c r="D9" s="5" t="inlineStr"/>
      <c r="E9" s="5">
        <f>E8*(C9/100)</f>
        <v/>
      </c>
      <c r="F9" s="5" t="inlineStr">
        <is>
          <t>Enter planned scrap percent</t>
        </is>
      </c>
    </row>
    <row r="10">
      <c r="A10" s="5" t="inlineStr">
        <is>
          <t>Direct labor time</t>
        </is>
      </c>
      <c r="B10" s="5" t="inlineStr">
        <is>
          <t>sec/pc</t>
        </is>
      </c>
      <c r="C10" s="5" t="inlineStr"/>
      <c r="D10" s="5" t="n">
        <v>18</v>
      </c>
      <c r="E10" s="5">
        <f>C10/3600*D10</f>
        <v/>
      </c>
      <c r="F10" s="5" t="inlineStr"/>
    </row>
    <row r="11">
      <c r="A11" s="5" t="inlineStr">
        <is>
          <t>Machine rate</t>
        </is>
      </c>
      <c r="B11" s="5" t="inlineStr">
        <is>
          <t>USD/hr</t>
        </is>
      </c>
      <c r="C11" s="5" t="n">
        <v>14</v>
      </c>
      <c r="D11" s="5" t="n">
        <v>45</v>
      </c>
      <c r="E11" s="5">
        <f>C11/3600*D11</f>
        <v/>
      </c>
      <c r="F11" s="5" t="inlineStr">
        <is>
          <t>Cycle time in C11, hourly rate in D11</t>
        </is>
      </c>
    </row>
    <row r="12">
      <c r="A12" s="5" t="inlineStr">
        <is>
          <t>Packaging cost</t>
        </is>
      </c>
      <c r="B12" s="5" t="inlineStr">
        <is>
          <t>USD/pc</t>
        </is>
      </c>
      <c r="C12" s="5" t="inlineStr"/>
      <c r="D12" s="5" t="inlineStr"/>
      <c r="E12" s="5">
        <f>IF(C12="",0,C12)</f>
        <v/>
      </c>
      <c r="F12" s="5" t="inlineStr"/>
    </row>
    <row r="13">
      <c r="A13" s="5" t="inlineStr">
        <is>
          <t>Quality cost</t>
        </is>
      </c>
      <c r="B13" s="5" t="inlineStr">
        <is>
          <t>USD/pc</t>
        </is>
      </c>
      <c r="C13" s="5" t="inlineStr"/>
      <c r="D13" s="5" t="inlineStr"/>
      <c r="E13" s="5">
        <f>IF(C13="",0,C13)</f>
        <v/>
      </c>
      <c r="F13" s="5" t="inlineStr">
        <is>
          <t>PPAP, gauges, inspection amortized</t>
        </is>
      </c>
    </row>
    <row r="14">
      <c r="A14" s="5" t="inlineStr">
        <is>
          <t>Freight cost</t>
        </is>
      </c>
      <c r="B14" s="5" t="inlineStr">
        <is>
          <t>USD/pc</t>
        </is>
      </c>
      <c r="C14" s="5" t="inlineStr"/>
      <c r="D14" s="5" t="inlineStr"/>
      <c r="E14" s="5">
        <f>IF(C14="",0,C14)</f>
        <v/>
      </c>
      <c r="F14" s="5" t="inlineStr"/>
    </row>
    <row r="15">
      <c r="A15" s="5" t="inlineStr">
        <is>
          <t>Overhead</t>
        </is>
      </c>
      <c r="B15" s="5" t="inlineStr">
        <is>
          <t>USD/pc</t>
        </is>
      </c>
      <c r="C15" s="5" t="inlineStr"/>
      <c r="D15" s="5" t="inlineStr"/>
      <c r="E15" s="5">
        <f>IF(C15="",0,C15)</f>
        <v/>
      </c>
      <c r="F15" s="5" t="inlineStr"/>
    </row>
    <row r="16">
      <c r="A16" s="5" t="inlineStr">
        <is>
          <t>Margin</t>
        </is>
      </c>
      <c r="B16" s="5" t="inlineStr">
        <is>
          <t>%</t>
        </is>
      </c>
      <c r="C16" s="5" t="n">
        <v>10</v>
      </c>
      <c r="D16" s="5" t="inlineStr"/>
      <c r="E16" s="5">
        <f>SUM(E8:E15)*(C16/100)</f>
        <v/>
      </c>
      <c r="F16" s="5" t="inlineStr">
        <is>
          <t>Enter target gross margin percent</t>
        </is>
      </c>
    </row>
    <row r="18">
      <c r="A18" s="6" t="inlineStr">
        <is>
          <t>Quoted Piece Price</t>
        </is>
      </c>
      <c r="B18" s="7">
        <f>SUM(E8:E16)</f>
        <v/>
      </c>
      <c r="D18" s="6" t="inlineStr">
        <is>
          <t>Tooling Cost</t>
        </is>
      </c>
      <c r="E18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8" customWidth="1" min="4" max="4"/>
  </cols>
  <sheetData>
    <row r="1">
      <c r="A1" s="4" t="inlineStr">
        <is>
          <t>Document</t>
        </is>
      </c>
      <c r="B1" s="4" t="inlineStr">
        <is>
          <t>Required</t>
        </is>
      </c>
      <c r="C1" s="4" t="inlineStr">
        <is>
          <t>Included</t>
        </is>
      </c>
      <c r="D1" s="4" t="inlineStr">
        <is>
          <t>Reviewer Notes</t>
        </is>
      </c>
    </row>
    <row r="2">
      <c r="A2" s="5" t="inlineStr">
        <is>
          <t>Quoted piece price</t>
        </is>
      </c>
      <c r="B2" s="5" t="inlineStr">
        <is>
          <t>Yes</t>
        </is>
      </c>
      <c r="C2" s="5" t="inlineStr"/>
      <c r="D2" s="5" t="inlineStr"/>
    </row>
    <row r="3">
      <c r="A3" s="5" t="inlineStr">
        <is>
          <t>Tooling quote</t>
        </is>
      </c>
      <c r="B3" s="5" t="inlineStr">
        <is>
          <t>Yes</t>
        </is>
      </c>
      <c r="C3" s="5" t="inlineStr"/>
      <c r="D3" s="5" t="inlineStr"/>
    </row>
    <row r="4">
      <c r="A4" s="5" t="inlineStr">
        <is>
          <t>Packaging assumption</t>
        </is>
      </c>
      <c r="B4" s="5" t="inlineStr">
        <is>
          <t>Yes</t>
        </is>
      </c>
      <c r="C4" s="5" t="inlineStr"/>
      <c r="D4" s="5" t="inlineStr"/>
    </row>
    <row r="5">
      <c r="A5" s="5" t="inlineStr">
        <is>
          <t>PPAP assumption</t>
        </is>
      </c>
      <c r="B5" s="5" t="inlineStr">
        <is>
          <t>Yes</t>
        </is>
      </c>
      <c r="C5" s="5" t="inlineStr"/>
      <c r="D5" s="5" t="inlineStr"/>
    </row>
    <row r="6">
      <c r="A6" s="5" t="inlineStr">
        <is>
          <t>Freight assumption</t>
        </is>
      </c>
      <c r="B6" s="5" t="inlineStr">
        <is>
          <t>Yes</t>
        </is>
      </c>
      <c r="C6" s="5" t="inlineStr"/>
      <c r="D6" s="5" t="inlineStr"/>
    </row>
    <row r="7">
      <c r="A7" s="5" t="inlineStr">
        <is>
          <t>Payment term accepted</t>
        </is>
      </c>
      <c r="B7" s="5" t="inlineStr">
        <is>
          <t>Yes</t>
        </is>
      </c>
      <c r="C7" s="5" t="inlineStr"/>
      <c r="D7" s="5" t="inlineStr"/>
    </row>
  </sheetData>
  <dataValidations count="1">
    <dataValidation sqref="C2:C2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2026-03-30T16:25:21Z</dcterms:created>
  <dcterms:modified xmlns:dcterms="http://purl.org/dc/terms/" xmlns:xsi="http://www.w3.org/2001/XMLSchema-instance" xsi:type="dcterms:W3CDTF">2026-03-30T16:25:21Z</dcterms:modified>
</cp:coreProperties>
</file>